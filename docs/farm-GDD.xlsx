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ProjectDaily\docs\"/>
    </mc:Choice>
  </mc:AlternateContent>
  <xr:revisionPtr revIDLastSave="0" documentId="13_ncr:1_{79D02C70-85BC-45F9-9F08-2F1391B8A900}" xr6:coauthVersionLast="47" xr6:coauthVersionMax="47" xr10:uidLastSave="{00000000-0000-0000-0000-000000000000}"/>
  <bookViews>
    <workbookView xWindow="28680" yWindow="-11430" windowWidth="16440" windowHeight="28320" xr2:uid="{00000000-000D-0000-FFFF-FFFF00000000}"/>
  </bookViews>
  <sheets>
    <sheet name="개요" sheetId="1" r:id="rId1"/>
    <sheet name="NP·시즌" sheetId="2" r:id="rId2"/>
    <sheet name="탐험" sheetId="3" r:id="rId3"/>
    <sheet name="작물" sheetId="4" r:id="rId4"/>
    <sheet name="품질표" sheetId="5" r:id="rId5"/>
    <sheet name="제작" sheetId="6" r:id="rId6"/>
    <sheet name="요리·별" sheetId="7" r:id="rId7"/>
    <sheet name="요리 목록" sheetId="8" r:id="rId8"/>
    <sheet name="화폐·상점" sheetId="9" r:id="rId9"/>
    <sheet name="장신구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0" l="1"/>
  <c r="L32" i="10"/>
  <c r="L31" i="10"/>
  <c r="L30" i="10"/>
  <c r="L29" i="10"/>
  <c r="L28" i="10"/>
  <c r="L27" i="10"/>
  <c r="L26" i="10"/>
  <c r="L25" i="10"/>
  <c r="B19" i="10"/>
  <c r="K33" i="10" s="1"/>
  <c r="B15" i="10"/>
  <c r="B8" i="10"/>
  <c r="F49" i="9"/>
  <c r="D49" i="9"/>
  <c r="F48" i="9"/>
  <c r="D48" i="9"/>
  <c r="G47" i="9"/>
  <c r="F47" i="9"/>
  <c r="D47" i="9"/>
  <c r="G46" i="9"/>
  <c r="F46" i="9"/>
  <c r="D46" i="9"/>
  <c r="F45" i="9"/>
  <c r="D45" i="9"/>
  <c r="F44" i="9"/>
  <c r="D44" i="9"/>
  <c r="F43" i="9"/>
  <c r="D43" i="9"/>
  <c r="E33" i="9"/>
  <c r="E32" i="9"/>
  <c r="C22" i="9"/>
  <c r="C21" i="9"/>
  <c r="C20" i="9"/>
  <c r="C19" i="9"/>
  <c r="B24" i="9" s="1"/>
  <c r="N104" i="8"/>
  <c r="O104" i="8" s="1"/>
  <c r="L104" i="8"/>
  <c r="M104" i="8" s="1"/>
  <c r="K104" i="8"/>
  <c r="J104" i="8"/>
  <c r="O103" i="8"/>
  <c r="N103" i="8"/>
  <c r="L103" i="8"/>
  <c r="M103" i="8" s="1"/>
  <c r="K103" i="8"/>
  <c r="J103" i="8"/>
  <c r="N102" i="8"/>
  <c r="O102" i="8" s="1"/>
  <c r="L102" i="8"/>
  <c r="M102" i="8" s="1"/>
  <c r="K102" i="8"/>
  <c r="J102" i="8"/>
  <c r="N101" i="8"/>
  <c r="O101" i="8" s="1"/>
  <c r="L101" i="8"/>
  <c r="M101" i="8" s="1"/>
  <c r="K101" i="8"/>
  <c r="J101" i="8"/>
  <c r="N100" i="8"/>
  <c r="O100" i="8" s="1"/>
  <c r="M100" i="8"/>
  <c r="L100" i="8"/>
  <c r="K100" i="8"/>
  <c r="J100" i="8"/>
  <c r="N99" i="8"/>
  <c r="O99" i="8" s="1"/>
  <c r="L99" i="8"/>
  <c r="M99" i="8" s="1"/>
  <c r="K99" i="8"/>
  <c r="J99" i="8"/>
  <c r="N98" i="8"/>
  <c r="O98" i="8" s="1"/>
  <c r="L98" i="8"/>
  <c r="M98" i="8" s="1"/>
  <c r="K98" i="8"/>
  <c r="J98" i="8"/>
  <c r="N97" i="8"/>
  <c r="O97" i="8" s="1"/>
  <c r="L97" i="8"/>
  <c r="M97" i="8" s="1"/>
  <c r="K97" i="8"/>
  <c r="J97" i="8"/>
  <c r="N96" i="8"/>
  <c r="O96" i="8" s="1"/>
  <c r="L96" i="8"/>
  <c r="M96" i="8" s="1"/>
  <c r="K96" i="8"/>
  <c r="J96" i="8"/>
  <c r="N95" i="8"/>
  <c r="O95" i="8" s="1"/>
  <c r="L95" i="8"/>
  <c r="M95" i="8" s="1"/>
  <c r="K95" i="8"/>
  <c r="J95" i="8"/>
  <c r="O94" i="8"/>
  <c r="N94" i="8"/>
  <c r="L94" i="8"/>
  <c r="M94" i="8" s="1"/>
  <c r="K94" i="8"/>
  <c r="J94" i="8"/>
  <c r="N93" i="8"/>
  <c r="O93" i="8" s="1"/>
  <c r="L93" i="8"/>
  <c r="M93" i="8" s="1"/>
  <c r="K93" i="8"/>
  <c r="J93" i="8"/>
  <c r="N92" i="8"/>
  <c r="O92" i="8" s="1"/>
  <c r="L92" i="8"/>
  <c r="M92" i="8" s="1"/>
  <c r="K92" i="8"/>
  <c r="J92" i="8"/>
  <c r="N91" i="8"/>
  <c r="O91" i="8" s="1"/>
  <c r="L91" i="8"/>
  <c r="M91" i="8" s="1"/>
  <c r="K91" i="8"/>
  <c r="J91" i="8"/>
  <c r="N90" i="8"/>
  <c r="O90" i="8" s="1"/>
  <c r="L90" i="8"/>
  <c r="M90" i="8" s="1"/>
  <c r="K90" i="8"/>
  <c r="J90" i="8"/>
  <c r="N89" i="8"/>
  <c r="O89" i="8" s="1"/>
  <c r="L89" i="8"/>
  <c r="M89" i="8" s="1"/>
  <c r="K89" i="8"/>
  <c r="J89" i="8"/>
  <c r="N88" i="8"/>
  <c r="O88" i="8" s="1"/>
  <c r="L88" i="8"/>
  <c r="M88" i="8" s="1"/>
  <c r="K88" i="8"/>
  <c r="J88" i="8"/>
  <c r="N87" i="8"/>
  <c r="O87" i="8" s="1"/>
  <c r="L87" i="8"/>
  <c r="M87" i="8" s="1"/>
  <c r="K87" i="8"/>
  <c r="J87" i="8"/>
  <c r="N86" i="8"/>
  <c r="O86" i="8" s="1"/>
  <c r="L86" i="8"/>
  <c r="M86" i="8" s="1"/>
  <c r="K86" i="8"/>
  <c r="J86" i="8"/>
  <c r="N85" i="8"/>
  <c r="O85" i="8" s="1"/>
  <c r="M85" i="8"/>
  <c r="L85" i="8"/>
  <c r="K85" i="8"/>
  <c r="J85" i="8"/>
  <c r="N84" i="8"/>
  <c r="O84" i="8" s="1"/>
  <c r="L84" i="8"/>
  <c r="M84" i="8" s="1"/>
  <c r="K84" i="8"/>
  <c r="J84" i="8"/>
  <c r="N83" i="8"/>
  <c r="O83" i="8" s="1"/>
  <c r="L83" i="8"/>
  <c r="M83" i="8" s="1"/>
  <c r="K83" i="8"/>
  <c r="J83" i="8"/>
  <c r="O82" i="8"/>
  <c r="N82" i="8"/>
  <c r="L82" i="8"/>
  <c r="M82" i="8" s="1"/>
  <c r="K82" i="8"/>
  <c r="J82" i="8"/>
  <c r="N81" i="8"/>
  <c r="O81" i="8" s="1"/>
  <c r="L81" i="8"/>
  <c r="M81" i="8" s="1"/>
  <c r="K81" i="8"/>
  <c r="J81" i="8"/>
  <c r="N80" i="8"/>
  <c r="O80" i="8" s="1"/>
  <c r="M80" i="8"/>
  <c r="L80" i="8"/>
  <c r="K80" i="8"/>
  <c r="J80" i="8"/>
  <c r="N79" i="8"/>
  <c r="O79" i="8" s="1"/>
  <c r="L79" i="8"/>
  <c r="M79" i="8" s="1"/>
  <c r="K79" i="8"/>
  <c r="J79" i="8"/>
  <c r="N78" i="8"/>
  <c r="O78" i="8" s="1"/>
  <c r="L78" i="8"/>
  <c r="M78" i="8" s="1"/>
  <c r="K78" i="8"/>
  <c r="J78" i="8"/>
  <c r="N77" i="8"/>
  <c r="O77" i="8" s="1"/>
  <c r="L77" i="8"/>
  <c r="M77" i="8" s="1"/>
  <c r="K77" i="8"/>
  <c r="J77" i="8"/>
  <c r="N76" i="8"/>
  <c r="O76" i="8" s="1"/>
  <c r="L76" i="8"/>
  <c r="M76" i="8" s="1"/>
  <c r="K76" i="8"/>
  <c r="J76" i="8"/>
  <c r="N75" i="8"/>
  <c r="O75" i="8" s="1"/>
  <c r="L75" i="8"/>
  <c r="M75" i="8" s="1"/>
  <c r="K75" i="8"/>
  <c r="J75" i="8"/>
  <c r="N74" i="8"/>
  <c r="O74" i="8" s="1"/>
  <c r="L74" i="8"/>
  <c r="M74" i="8" s="1"/>
  <c r="K74" i="8"/>
  <c r="J74" i="8"/>
  <c r="N73" i="8"/>
  <c r="O73" i="8" s="1"/>
  <c r="L73" i="8"/>
  <c r="M73" i="8" s="1"/>
  <c r="K73" i="8"/>
  <c r="J73" i="8"/>
  <c r="N72" i="8"/>
  <c r="O72" i="8" s="1"/>
  <c r="M72" i="8"/>
  <c r="L72" i="8"/>
  <c r="K72" i="8"/>
  <c r="J72" i="8"/>
  <c r="O71" i="8"/>
  <c r="N71" i="8"/>
  <c r="M71" i="8"/>
  <c r="L71" i="8"/>
  <c r="K71" i="8"/>
  <c r="J71" i="8"/>
  <c r="N70" i="8"/>
  <c r="O70" i="8" s="1"/>
  <c r="L70" i="8"/>
  <c r="M70" i="8" s="1"/>
  <c r="K70" i="8"/>
  <c r="J70" i="8"/>
  <c r="N69" i="8"/>
  <c r="O69" i="8" s="1"/>
  <c r="L69" i="8"/>
  <c r="M69" i="8" s="1"/>
  <c r="K69" i="8"/>
  <c r="J69" i="8"/>
  <c r="N68" i="8"/>
  <c r="O68" i="8" s="1"/>
  <c r="L68" i="8"/>
  <c r="M68" i="8" s="1"/>
  <c r="K68" i="8"/>
  <c r="J68" i="8"/>
  <c r="O67" i="8"/>
  <c r="N67" i="8"/>
  <c r="L67" i="8"/>
  <c r="M67" i="8" s="1"/>
  <c r="K67" i="8"/>
  <c r="J67" i="8"/>
  <c r="N66" i="8"/>
  <c r="O66" i="8" s="1"/>
  <c r="L66" i="8"/>
  <c r="M66" i="8" s="1"/>
  <c r="K66" i="8"/>
  <c r="J66" i="8"/>
  <c r="N65" i="8"/>
  <c r="O65" i="8" s="1"/>
  <c r="L65" i="8"/>
  <c r="M65" i="8" s="1"/>
  <c r="K65" i="8"/>
  <c r="J65" i="8"/>
  <c r="N64" i="8"/>
  <c r="O64" i="8" s="1"/>
  <c r="L64" i="8"/>
  <c r="M64" i="8" s="1"/>
  <c r="K64" i="8"/>
  <c r="J64" i="8"/>
  <c r="N63" i="8"/>
  <c r="O63" i="8" s="1"/>
  <c r="L63" i="8"/>
  <c r="M63" i="8" s="1"/>
  <c r="K63" i="8"/>
  <c r="J63" i="8"/>
  <c r="N62" i="8"/>
  <c r="O62" i="8" s="1"/>
  <c r="M62" i="8"/>
  <c r="L62" i="8"/>
  <c r="K62" i="8"/>
  <c r="J62" i="8"/>
  <c r="O61" i="8"/>
  <c r="N61" i="8"/>
  <c r="L61" i="8"/>
  <c r="M61" i="8" s="1"/>
  <c r="K61" i="8"/>
  <c r="J61" i="8"/>
  <c r="N60" i="8"/>
  <c r="O60" i="8" s="1"/>
  <c r="L60" i="8"/>
  <c r="M60" i="8" s="1"/>
  <c r="K60" i="8"/>
  <c r="J60" i="8"/>
  <c r="N59" i="8"/>
  <c r="O59" i="8" s="1"/>
  <c r="M59" i="8"/>
  <c r="L59" i="8"/>
  <c r="K59" i="8"/>
  <c r="J59" i="8"/>
  <c r="N58" i="8"/>
  <c r="O58" i="8" s="1"/>
  <c r="L58" i="8"/>
  <c r="M58" i="8" s="1"/>
  <c r="K58" i="8"/>
  <c r="J58" i="8"/>
  <c r="N57" i="8"/>
  <c r="O57" i="8" s="1"/>
  <c r="L57" i="8"/>
  <c r="M57" i="8" s="1"/>
  <c r="K57" i="8"/>
  <c r="J57" i="8"/>
  <c r="N56" i="8"/>
  <c r="O56" i="8" s="1"/>
  <c r="L56" i="8"/>
  <c r="M56" i="8" s="1"/>
  <c r="K56" i="8"/>
  <c r="J56" i="8"/>
  <c r="N55" i="8"/>
  <c r="O55" i="8" s="1"/>
  <c r="L55" i="8"/>
  <c r="M55" i="8" s="1"/>
  <c r="K55" i="8"/>
  <c r="J55" i="8"/>
  <c r="N54" i="8"/>
  <c r="O54" i="8" s="1"/>
  <c r="L54" i="8"/>
  <c r="M54" i="8" s="1"/>
  <c r="K54" i="8"/>
  <c r="J54" i="8"/>
  <c r="O53" i="8"/>
  <c r="N53" i="8"/>
  <c r="L53" i="8"/>
  <c r="M53" i="8" s="1"/>
  <c r="K53" i="8"/>
  <c r="J53" i="8"/>
  <c r="N52" i="8"/>
  <c r="O52" i="8" s="1"/>
  <c r="L52" i="8"/>
  <c r="M52" i="8" s="1"/>
  <c r="K52" i="8"/>
  <c r="J52" i="8"/>
  <c r="N51" i="8"/>
  <c r="O51" i="8" s="1"/>
  <c r="L51" i="8"/>
  <c r="M51" i="8" s="1"/>
  <c r="K51" i="8"/>
  <c r="J51" i="8"/>
  <c r="N50" i="8"/>
  <c r="O50" i="8" s="1"/>
  <c r="L50" i="8"/>
  <c r="M50" i="8" s="1"/>
  <c r="K50" i="8"/>
  <c r="J50" i="8"/>
  <c r="N49" i="8"/>
  <c r="O49" i="8" s="1"/>
  <c r="L49" i="8"/>
  <c r="M49" i="8" s="1"/>
  <c r="K49" i="8"/>
  <c r="J49" i="8"/>
  <c r="N48" i="8"/>
  <c r="O48" i="8" s="1"/>
  <c r="L48" i="8"/>
  <c r="M48" i="8" s="1"/>
  <c r="K48" i="8"/>
  <c r="J48" i="8"/>
  <c r="O47" i="8"/>
  <c r="N47" i="8"/>
  <c r="L47" i="8"/>
  <c r="M47" i="8" s="1"/>
  <c r="K47" i="8"/>
  <c r="J47" i="8"/>
  <c r="N46" i="8"/>
  <c r="O46" i="8" s="1"/>
  <c r="L46" i="8"/>
  <c r="M46" i="8" s="1"/>
  <c r="K46" i="8"/>
  <c r="J46" i="8"/>
  <c r="N45" i="8"/>
  <c r="O45" i="8" s="1"/>
  <c r="L45" i="8"/>
  <c r="M45" i="8" s="1"/>
  <c r="K45" i="8"/>
  <c r="J45" i="8"/>
  <c r="N44" i="8"/>
  <c r="O44" i="8" s="1"/>
  <c r="M44" i="8"/>
  <c r="L44" i="8"/>
  <c r="K44" i="8"/>
  <c r="J44" i="8"/>
  <c r="N43" i="8"/>
  <c r="O43" i="8" s="1"/>
  <c r="L43" i="8"/>
  <c r="M43" i="8" s="1"/>
  <c r="K43" i="8"/>
  <c r="J43" i="8"/>
  <c r="N42" i="8"/>
  <c r="O42" i="8" s="1"/>
  <c r="L42" i="8"/>
  <c r="M42" i="8" s="1"/>
  <c r="K42" i="8"/>
  <c r="J42" i="8"/>
  <c r="N41" i="8"/>
  <c r="O41" i="8" s="1"/>
  <c r="L41" i="8"/>
  <c r="M41" i="8" s="1"/>
  <c r="K41" i="8"/>
  <c r="J41" i="8"/>
  <c r="N40" i="8"/>
  <c r="O40" i="8" s="1"/>
  <c r="L40" i="8"/>
  <c r="M40" i="8" s="1"/>
  <c r="K40" i="8"/>
  <c r="J40" i="8"/>
  <c r="N39" i="8"/>
  <c r="O39" i="8" s="1"/>
  <c r="L39" i="8"/>
  <c r="M39" i="8" s="1"/>
  <c r="K39" i="8"/>
  <c r="J39" i="8"/>
  <c r="N38" i="8"/>
  <c r="O38" i="8" s="1"/>
  <c r="L38" i="8"/>
  <c r="M38" i="8" s="1"/>
  <c r="K38" i="8"/>
  <c r="J38" i="8"/>
  <c r="N37" i="8"/>
  <c r="O37" i="8" s="1"/>
  <c r="L37" i="8"/>
  <c r="M37" i="8" s="1"/>
  <c r="K37" i="8"/>
  <c r="J37" i="8"/>
  <c r="N36" i="8"/>
  <c r="O36" i="8" s="1"/>
  <c r="L36" i="8"/>
  <c r="M36" i="8" s="1"/>
  <c r="K36" i="8"/>
  <c r="J36" i="8"/>
  <c r="N35" i="8"/>
  <c r="O35" i="8" s="1"/>
  <c r="L35" i="8"/>
  <c r="M35" i="8" s="1"/>
  <c r="K35" i="8"/>
  <c r="J35" i="8"/>
  <c r="N34" i="8"/>
  <c r="O34" i="8" s="1"/>
  <c r="L34" i="8"/>
  <c r="M34" i="8" s="1"/>
  <c r="K34" i="8"/>
  <c r="J34" i="8"/>
  <c r="N33" i="8"/>
  <c r="O33" i="8" s="1"/>
  <c r="L33" i="8"/>
  <c r="M33" i="8" s="1"/>
  <c r="K33" i="8"/>
  <c r="J33" i="8"/>
  <c r="N32" i="8"/>
  <c r="O32" i="8" s="1"/>
  <c r="L32" i="8"/>
  <c r="M32" i="8" s="1"/>
  <c r="K32" i="8"/>
  <c r="J32" i="8"/>
  <c r="N31" i="8"/>
  <c r="O31" i="8" s="1"/>
  <c r="L31" i="8"/>
  <c r="M31" i="8" s="1"/>
  <c r="K31" i="8"/>
  <c r="J31" i="8"/>
  <c r="N30" i="8"/>
  <c r="O30" i="8" s="1"/>
  <c r="M30" i="8"/>
  <c r="L30" i="8"/>
  <c r="K30" i="8"/>
  <c r="J30" i="8"/>
  <c r="O29" i="8"/>
  <c r="N29" i="8"/>
  <c r="M29" i="8"/>
  <c r="L29" i="8"/>
  <c r="K29" i="8"/>
  <c r="J29" i="8"/>
  <c r="N28" i="8"/>
  <c r="O28" i="8" s="1"/>
  <c r="L28" i="8"/>
  <c r="M28" i="8" s="1"/>
  <c r="K28" i="8"/>
  <c r="J28" i="8"/>
  <c r="N27" i="8"/>
  <c r="O27" i="8" s="1"/>
  <c r="L27" i="8"/>
  <c r="M27" i="8" s="1"/>
  <c r="K27" i="8"/>
  <c r="J27" i="8"/>
  <c r="N26" i="8"/>
  <c r="O26" i="8" s="1"/>
  <c r="L26" i="8"/>
  <c r="M26" i="8" s="1"/>
  <c r="K26" i="8"/>
  <c r="J26" i="8"/>
  <c r="N25" i="8"/>
  <c r="O25" i="8" s="1"/>
  <c r="L25" i="8"/>
  <c r="M25" i="8" s="1"/>
  <c r="K25" i="8"/>
  <c r="J25" i="8"/>
  <c r="N24" i="8"/>
  <c r="O24" i="8" s="1"/>
  <c r="L24" i="8"/>
  <c r="M24" i="8" s="1"/>
  <c r="K24" i="8"/>
  <c r="J24" i="8"/>
  <c r="N23" i="8"/>
  <c r="O23" i="8" s="1"/>
  <c r="L23" i="8"/>
  <c r="M23" i="8" s="1"/>
  <c r="K23" i="8"/>
  <c r="J23" i="8"/>
  <c r="N22" i="8"/>
  <c r="O22" i="8" s="1"/>
  <c r="L22" i="8"/>
  <c r="M22" i="8" s="1"/>
  <c r="K22" i="8"/>
  <c r="J22" i="8"/>
  <c r="N21" i="8"/>
  <c r="O21" i="8" s="1"/>
  <c r="L21" i="8"/>
  <c r="M21" i="8" s="1"/>
  <c r="K21" i="8"/>
  <c r="J21" i="8"/>
  <c r="N20" i="8"/>
  <c r="O20" i="8" s="1"/>
  <c r="L20" i="8"/>
  <c r="M20" i="8" s="1"/>
  <c r="K20" i="8"/>
  <c r="J20" i="8"/>
  <c r="N19" i="8"/>
  <c r="O19" i="8" s="1"/>
  <c r="L19" i="8"/>
  <c r="M19" i="8" s="1"/>
  <c r="K19" i="8"/>
  <c r="J19" i="8"/>
  <c r="N18" i="8"/>
  <c r="O18" i="8" s="1"/>
  <c r="L18" i="8"/>
  <c r="M18" i="8" s="1"/>
  <c r="K18" i="8"/>
  <c r="J18" i="8"/>
  <c r="N17" i="8"/>
  <c r="O17" i="8" s="1"/>
  <c r="L17" i="8"/>
  <c r="M17" i="8" s="1"/>
  <c r="K17" i="8"/>
  <c r="J17" i="8"/>
  <c r="N16" i="8"/>
  <c r="O16" i="8" s="1"/>
  <c r="M16" i="8"/>
  <c r="L16" i="8"/>
  <c r="K16" i="8"/>
  <c r="J16" i="8"/>
  <c r="O15" i="8"/>
  <c r="N15" i="8"/>
  <c r="L15" i="8"/>
  <c r="M15" i="8" s="1"/>
  <c r="K15" i="8"/>
  <c r="J15" i="8"/>
  <c r="N14" i="8"/>
  <c r="O14" i="8" s="1"/>
  <c r="L14" i="8"/>
  <c r="M14" i="8" s="1"/>
  <c r="K14" i="8"/>
  <c r="J14" i="8"/>
  <c r="N13" i="8"/>
  <c r="O13" i="8" s="1"/>
  <c r="L13" i="8"/>
  <c r="M13" i="8" s="1"/>
  <c r="K13" i="8"/>
  <c r="J13" i="8"/>
  <c r="N12" i="8"/>
  <c r="O12" i="8" s="1"/>
  <c r="M12" i="8"/>
  <c r="L12" i="8"/>
  <c r="K12" i="8"/>
  <c r="J12" i="8"/>
  <c r="O11" i="8"/>
  <c r="N11" i="8"/>
  <c r="L11" i="8"/>
  <c r="M11" i="8" s="1"/>
  <c r="K11" i="8"/>
  <c r="J11" i="8"/>
  <c r="N10" i="8"/>
  <c r="O10" i="8" s="1"/>
  <c r="L10" i="8"/>
  <c r="M10" i="8" s="1"/>
  <c r="K10" i="8"/>
  <c r="J10" i="8"/>
  <c r="N9" i="8"/>
  <c r="O9" i="8" s="1"/>
  <c r="L9" i="8"/>
  <c r="M9" i="8" s="1"/>
  <c r="K9" i="8"/>
  <c r="J9" i="8"/>
  <c r="N8" i="8"/>
  <c r="O8" i="8" s="1"/>
  <c r="L8" i="8"/>
  <c r="M8" i="8" s="1"/>
  <c r="K8" i="8"/>
  <c r="J8" i="8"/>
  <c r="N7" i="8"/>
  <c r="O7" i="8" s="1"/>
  <c r="L7" i="8"/>
  <c r="M7" i="8" s="1"/>
  <c r="K7" i="8"/>
  <c r="J7" i="8"/>
  <c r="N6" i="8"/>
  <c r="O6" i="8" s="1"/>
  <c r="M6" i="8"/>
  <c r="L6" i="8"/>
  <c r="K6" i="8"/>
  <c r="J6" i="8"/>
  <c r="O5" i="8"/>
  <c r="N5" i="8"/>
  <c r="L5" i="8"/>
  <c r="M5" i="8" s="1"/>
  <c r="K5" i="8"/>
  <c r="J5" i="8"/>
  <c r="E42" i="7"/>
  <c r="D42" i="7"/>
  <c r="C42" i="7"/>
  <c r="G42" i="7" s="1"/>
  <c r="F41" i="7"/>
  <c r="E41" i="7"/>
  <c r="D41" i="7"/>
  <c r="I41" i="7" s="1"/>
  <c r="C41" i="7"/>
  <c r="E40" i="7"/>
  <c r="D40" i="7"/>
  <c r="C40" i="7"/>
  <c r="H40" i="7" s="1"/>
  <c r="E39" i="7"/>
  <c r="D39" i="7"/>
  <c r="C39" i="7"/>
  <c r="F39" i="7" s="1"/>
  <c r="G38" i="7"/>
  <c r="E38" i="7"/>
  <c r="D38" i="7"/>
  <c r="C38" i="7"/>
  <c r="F38" i="7" s="1"/>
  <c r="F37" i="7"/>
  <c r="E37" i="7"/>
  <c r="D37" i="7"/>
  <c r="C37" i="7"/>
  <c r="E36" i="7"/>
  <c r="D36" i="7"/>
  <c r="C36" i="7"/>
  <c r="F36" i="7" s="1"/>
  <c r="F35" i="7"/>
  <c r="E35" i="7"/>
  <c r="D35" i="7"/>
  <c r="G35" i="7" s="1"/>
  <c r="C35" i="7"/>
  <c r="E34" i="7"/>
  <c r="D34" i="7"/>
  <c r="C34" i="7"/>
  <c r="H34" i="7" s="1"/>
  <c r="E33" i="7"/>
  <c r="D33" i="7"/>
  <c r="C33" i="7"/>
  <c r="E32" i="7"/>
  <c r="D32" i="7"/>
  <c r="C32" i="7"/>
  <c r="I32" i="7" s="1"/>
  <c r="E31" i="7"/>
  <c r="D31" i="7"/>
  <c r="C31" i="7"/>
  <c r="G31" i="7" s="1"/>
  <c r="E30" i="7"/>
  <c r="D30" i="7"/>
  <c r="C30" i="7"/>
  <c r="F30" i="7" s="1"/>
  <c r="E29" i="7"/>
  <c r="D29" i="7"/>
  <c r="C29" i="7"/>
  <c r="F29" i="7" s="1"/>
  <c r="E28" i="7"/>
  <c r="D28" i="7"/>
  <c r="C28" i="7"/>
  <c r="F28" i="7" s="1"/>
  <c r="E27" i="7"/>
  <c r="D27" i="7"/>
  <c r="C27" i="7"/>
  <c r="D9" i="7"/>
  <c r="E8" i="7"/>
  <c r="E7" i="7"/>
  <c r="E6" i="7"/>
  <c r="E5" i="7"/>
  <c r="E9" i="7" s="1"/>
  <c r="N87" i="6"/>
  <c r="J87" i="6"/>
  <c r="G87" i="6"/>
  <c r="B87" i="6"/>
  <c r="C87" i="6" s="1"/>
  <c r="N86" i="6"/>
  <c r="J86" i="6"/>
  <c r="G86" i="6"/>
  <c r="B86" i="6"/>
  <c r="C86" i="6" s="1"/>
  <c r="N85" i="6"/>
  <c r="J85" i="6"/>
  <c r="G85" i="6"/>
  <c r="B85" i="6"/>
  <c r="C85" i="6" s="1"/>
  <c r="N84" i="6"/>
  <c r="J84" i="6"/>
  <c r="G84" i="6"/>
  <c r="B84" i="6"/>
  <c r="C84" i="6" s="1"/>
  <c r="N83" i="6"/>
  <c r="J83" i="6"/>
  <c r="G83" i="6"/>
  <c r="B83" i="6"/>
  <c r="C83" i="6" s="1"/>
  <c r="N82" i="6"/>
  <c r="J82" i="6"/>
  <c r="G82" i="6"/>
  <c r="B82" i="6"/>
  <c r="C82" i="6" s="1"/>
  <c r="N81" i="6"/>
  <c r="J81" i="6"/>
  <c r="G81" i="6"/>
  <c r="B81" i="6"/>
  <c r="C81" i="6" s="1"/>
  <c r="N80" i="6"/>
  <c r="J80" i="6"/>
  <c r="G80" i="6"/>
  <c r="C80" i="6"/>
  <c r="B80" i="6"/>
  <c r="N79" i="6"/>
  <c r="J79" i="6"/>
  <c r="G79" i="6"/>
  <c r="B79" i="6"/>
  <c r="C79" i="6" s="1"/>
  <c r="N78" i="6"/>
  <c r="J78" i="6"/>
  <c r="G78" i="6"/>
  <c r="B78" i="6"/>
  <c r="C78" i="6" s="1"/>
  <c r="N77" i="6"/>
  <c r="J77" i="6"/>
  <c r="G77" i="6"/>
  <c r="B77" i="6"/>
  <c r="C77" i="6" s="1"/>
  <c r="N76" i="6"/>
  <c r="J76" i="6"/>
  <c r="G76" i="6"/>
  <c r="B76" i="6"/>
  <c r="C76" i="6" s="1"/>
  <c r="N75" i="6"/>
  <c r="J75" i="6"/>
  <c r="G75" i="6"/>
  <c r="B75" i="6"/>
  <c r="C75" i="6" s="1"/>
  <c r="N74" i="6"/>
  <c r="J74" i="6"/>
  <c r="G74" i="6"/>
  <c r="B74" i="6"/>
  <c r="C74" i="6" s="1"/>
  <c r="N73" i="6"/>
  <c r="J73" i="6"/>
  <c r="G73" i="6"/>
  <c r="B73" i="6"/>
  <c r="C73" i="6" s="1"/>
  <c r="N72" i="6"/>
  <c r="J72" i="6"/>
  <c r="G72" i="6"/>
  <c r="B72" i="6"/>
  <c r="C72" i="6" s="1"/>
  <c r="N71" i="6"/>
  <c r="J71" i="6"/>
  <c r="G71" i="6"/>
  <c r="B71" i="6"/>
  <c r="C71" i="6" s="1"/>
  <c r="N70" i="6"/>
  <c r="J70" i="6"/>
  <c r="G70" i="6"/>
  <c r="B70" i="6"/>
  <c r="C70" i="6" s="1"/>
  <c r="N69" i="6"/>
  <c r="J69" i="6"/>
  <c r="G69" i="6"/>
  <c r="B69" i="6"/>
  <c r="C69" i="6" s="1"/>
  <c r="N68" i="6"/>
  <c r="J68" i="6"/>
  <c r="G68" i="6"/>
  <c r="B68" i="6"/>
  <c r="C68" i="6" s="1"/>
  <c r="N67" i="6"/>
  <c r="J67" i="6"/>
  <c r="G67" i="6"/>
  <c r="B67" i="6"/>
  <c r="C67" i="6" s="1"/>
  <c r="N66" i="6"/>
  <c r="J66" i="6"/>
  <c r="G66" i="6"/>
  <c r="B66" i="6"/>
  <c r="C66" i="6" s="1"/>
  <c r="N65" i="6"/>
  <c r="J65" i="6"/>
  <c r="G65" i="6"/>
  <c r="B65" i="6"/>
  <c r="C65" i="6" s="1"/>
  <c r="N64" i="6"/>
  <c r="J64" i="6"/>
  <c r="G64" i="6"/>
  <c r="B64" i="6"/>
  <c r="C64" i="6" s="1"/>
  <c r="N63" i="6"/>
  <c r="J63" i="6"/>
  <c r="G63" i="6"/>
  <c r="B63" i="6"/>
  <c r="C63" i="6" s="1"/>
  <c r="N62" i="6"/>
  <c r="J62" i="6"/>
  <c r="G62" i="6"/>
  <c r="B62" i="6"/>
  <c r="C62" i="6" s="1"/>
  <c r="N61" i="6"/>
  <c r="J61" i="6"/>
  <c r="G61" i="6"/>
  <c r="B61" i="6"/>
  <c r="C61" i="6" s="1"/>
  <c r="N60" i="6"/>
  <c r="J60" i="6"/>
  <c r="G60" i="6"/>
  <c r="B60" i="6"/>
  <c r="C60" i="6" s="1"/>
  <c r="N59" i="6"/>
  <c r="J59" i="6"/>
  <c r="G59" i="6"/>
  <c r="B59" i="6"/>
  <c r="C59" i="6" s="1"/>
  <c r="N58" i="6"/>
  <c r="J58" i="6"/>
  <c r="G58" i="6"/>
  <c r="B58" i="6"/>
  <c r="C58" i="6" s="1"/>
  <c r="N57" i="6"/>
  <c r="J57" i="6"/>
  <c r="G57" i="6"/>
  <c r="B57" i="6"/>
  <c r="C57" i="6" s="1"/>
  <c r="E53" i="6"/>
  <c r="D53" i="6"/>
  <c r="B53" i="6"/>
  <c r="G52" i="6"/>
  <c r="G51" i="6"/>
  <c r="G50" i="6"/>
  <c r="G49" i="6"/>
  <c r="M21" i="6" s="1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M20" i="6" s="1"/>
  <c r="G32" i="6"/>
  <c r="G31" i="6"/>
  <c r="G30" i="6"/>
  <c r="G29" i="6"/>
  <c r="G28" i="6"/>
  <c r="G27" i="6"/>
  <c r="G26" i="6"/>
  <c r="M18" i="6" s="1"/>
  <c r="G25" i="6"/>
  <c r="M17" i="6" s="1"/>
  <c r="G24" i="6"/>
  <c r="G23" i="6"/>
  <c r="M22" i="6"/>
  <c r="L22" i="6"/>
  <c r="K22" i="6"/>
  <c r="J22" i="6"/>
  <c r="G22" i="6"/>
  <c r="L21" i="6"/>
  <c r="K21" i="6"/>
  <c r="J21" i="6"/>
  <c r="G21" i="6"/>
  <c r="L20" i="6"/>
  <c r="K20" i="6"/>
  <c r="J20" i="6"/>
  <c r="G20" i="6"/>
  <c r="M15" i="6" s="1"/>
  <c r="L19" i="6"/>
  <c r="K19" i="6"/>
  <c r="J19" i="6"/>
  <c r="G19" i="6"/>
  <c r="L18" i="6"/>
  <c r="K18" i="6"/>
  <c r="J18" i="6"/>
  <c r="G18" i="6"/>
  <c r="L17" i="6"/>
  <c r="K17" i="6"/>
  <c r="J17" i="6"/>
  <c r="G17" i="6"/>
  <c r="O75" i="6" s="1"/>
  <c r="L16" i="6"/>
  <c r="K16" i="6"/>
  <c r="J16" i="6"/>
  <c r="G16" i="6"/>
  <c r="L15" i="6"/>
  <c r="K15" i="6"/>
  <c r="J15" i="6"/>
  <c r="G15" i="6"/>
  <c r="L14" i="6"/>
  <c r="K14" i="6"/>
  <c r="J14" i="6"/>
  <c r="G14" i="6"/>
  <c r="O79" i="6" s="1"/>
  <c r="P79" i="6" s="1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J80" i="5" s="1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J37" i="5" s="1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J6" i="5" s="1"/>
  <c r="I5" i="5"/>
  <c r="J71" i="4"/>
  <c r="E71" i="4"/>
  <c r="D71" i="4"/>
  <c r="J70" i="4"/>
  <c r="E70" i="4"/>
  <c r="D70" i="4"/>
  <c r="J69" i="4"/>
  <c r="E69" i="4"/>
  <c r="D69" i="4"/>
  <c r="J68" i="4"/>
  <c r="E68" i="4"/>
  <c r="D68" i="4"/>
  <c r="J67" i="4"/>
  <c r="E67" i="4"/>
  <c r="D67" i="4"/>
  <c r="J66" i="4"/>
  <c r="E66" i="4"/>
  <c r="D66" i="4"/>
  <c r="J65" i="4"/>
  <c r="E65" i="4"/>
  <c r="D65" i="4"/>
  <c r="J64" i="4"/>
  <c r="E64" i="4"/>
  <c r="D64" i="4"/>
  <c r="J63" i="4"/>
  <c r="E63" i="4"/>
  <c r="D63" i="4"/>
  <c r="J62" i="4"/>
  <c r="E62" i="4"/>
  <c r="D62" i="4"/>
  <c r="J61" i="4"/>
  <c r="E61" i="4"/>
  <c r="D61" i="4"/>
  <c r="J60" i="4"/>
  <c r="E60" i="4"/>
  <c r="D60" i="4"/>
  <c r="J59" i="4"/>
  <c r="E59" i="4"/>
  <c r="D59" i="4"/>
  <c r="J58" i="4"/>
  <c r="E58" i="4"/>
  <c r="D58" i="4"/>
  <c r="J57" i="4"/>
  <c r="E57" i="4"/>
  <c r="D57" i="4"/>
  <c r="J56" i="4"/>
  <c r="E56" i="4"/>
  <c r="D56" i="4"/>
  <c r="J55" i="4"/>
  <c r="E55" i="4"/>
  <c r="D55" i="4"/>
  <c r="J54" i="4"/>
  <c r="E54" i="4"/>
  <c r="D54" i="4"/>
  <c r="J53" i="4"/>
  <c r="E53" i="4"/>
  <c r="D53" i="4"/>
  <c r="J52" i="4"/>
  <c r="E52" i="4"/>
  <c r="D52" i="4"/>
  <c r="J51" i="4"/>
  <c r="E51" i="4"/>
  <c r="D51" i="4"/>
  <c r="J50" i="4"/>
  <c r="E50" i="4"/>
  <c r="D50" i="4"/>
  <c r="J49" i="4"/>
  <c r="E49" i="4"/>
  <c r="D49" i="4"/>
  <c r="J48" i="4"/>
  <c r="E48" i="4"/>
  <c r="D48" i="4"/>
  <c r="J47" i="4"/>
  <c r="E47" i="4"/>
  <c r="D47" i="4"/>
  <c r="J46" i="4"/>
  <c r="E46" i="4"/>
  <c r="D46" i="4"/>
  <c r="J45" i="4"/>
  <c r="E45" i="4"/>
  <c r="D45" i="4"/>
  <c r="J44" i="4"/>
  <c r="E44" i="4"/>
  <c r="D44" i="4"/>
  <c r="J43" i="4"/>
  <c r="E43" i="4"/>
  <c r="D43" i="4"/>
  <c r="J42" i="4"/>
  <c r="E42" i="4"/>
  <c r="D42" i="4"/>
  <c r="J41" i="4"/>
  <c r="E41" i="4"/>
  <c r="D41" i="4"/>
  <c r="J40" i="4"/>
  <c r="E40" i="4"/>
  <c r="D40" i="4"/>
  <c r="J39" i="4"/>
  <c r="E39" i="4"/>
  <c r="D39" i="4"/>
  <c r="J38" i="4"/>
  <c r="E38" i="4"/>
  <c r="D38" i="4"/>
  <c r="J37" i="4"/>
  <c r="H37" i="4"/>
  <c r="E37" i="4"/>
  <c r="D37" i="4"/>
  <c r="J36" i="4"/>
  <c r="E36" i="4"/>
  <c r="D36" i="4"/>
  <c r="J35" i="4"/>
  <c r="E35" i="4"/>
  <c r="D35" i="4"/>
  <c r="J34" i="4"/>
  <c r="E34" i="4"/>
  <c r="D34" i="4"/>
  <c r="J33" i="4"/>
  <c r="E33" i="4"/>
  <c r="D33" i="4"/>
  <c r="J32" i="4"/>
  <c r="E32" i="4"/>
  <c r="D32" i="4"/>
  <c r="J31" i="4"/>
  <c r="E31" i="4"/>
  <c r="D31" i="4"/>
  <c r="J30" i="4"/>
  <c r="E30" i="4"/>
  <c r="D30" i="4"/>
  <c r="J29" i="4"/>
  <c r="E29" i="4"/>
  <c r="D29" i="4"/>
  <c r="J28" i="4"/>
  <c r="I28" i="4"/>
  <c r="E28" i="4"/>
  <c r="D28" i="4"/>
  <c r="J27" i="4"/>
  <c r="E27" i="4"/>
  <c r="D27" i="4"/>
  <c r="J26" i="4"/>
  <c r="E26" i="4"/>
  <c r="D26" i="4"/>
  <c r="J25" i="4"/>
  <c r="E25" i="4"/>
  <c r="D25" i="4"/>
  <c r="J24" i="4"/>
  <c r="H24" i="4"/>
  <c r="E24" i="4"/>
  <c r="D24" i="4"/>
  <c r="J23" i="4"/>
  <c r="E23" i="4"/>
  <c r="D23" i="4"/>
  <c r="J22" i="4"/>
  <c r="E22" i="4"/>
  <c r="D22" i="4"/>
  <c r="J21" i="4"/>
  <c r="E21" i="4"/>
  <c r="D21" i="4"/>
  <c r="J20" i="4"/>
  <c r="F20" i="4"/>
  <c r="E20" i="4"/>
  <c r="D20" i="4"/>
  <c r="J19" i="4"/>
  <c r="E19" i="4"/>
  <c r="D19" i="4"/>
  <c r="J18" i="4"/>
  <c r="E18" i="4"/>
  <c r="D18" i="4"/>
  <c r="J17" i="4"/>
  <c r="E17" i="4"/>
  <c r="D17" i="4"/>
  <c r="D14" i="4"/>
  <c r="I70" i="4" s="1"/>
  <c r="D13" i="4"/>
  <c r="H58" i="4" s="1"/>
  <c r="D12" i="4"/>
  <c r="G53" i="4" s="1"/>
  <c r="D11" i="4"/>
  <c r="G36" i="4" s="1"/>
  <c r="F8" i="4"/>
  <c r="F7" i="4"/>
  <c r="F6" i="4"/>
  <c r="F5" i="4"/>
  <c r="D43" i="3"/>
  <c r="C43" i="3"/>
  <c r="B43" i="3"/>
  <c r="B38" i="3"/>
  <c r="B37" i="3"/>
  <c r="C28" i="3"/>
  <c r="C27" i="3"/>
  <c r="C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H17" i="3" s="1"/>
  <c r="F17" i="3"/>
  <c r="B14" i="3"/>
  <c r="B14" i="2"/>
  <c r="B17" i="2" s="1"/>
  <c r="F33" i="4" l="1"/>
  <c r="H19" i="3"/>
  <c r="G33" i="4"/>
  <c r="J21" i="5"/>
  <c r="P75" i="6"/>
  <c r="I39" i="7"/>
  <c r="G21" i="4"/>
  <c r="G39" i="7"/>
  <c r="H25" i="4"/>
  <c r="J13" i="5"/>
  <c r="G34" i="4"/>
  <c r="G58" i="4"/>
  <c r="J15" i="5"/>
  <c r="I34" i="7"/>
  <c r="I40" i="7"/>
  <c r="H23" i="3"/>
  <c r="D50" i="3" s="1"/>
  <c r="F30" i="4"/>
  <c r="H34" i="4"/>
  <c r="H28" i="7"/>
  <c r="D75" i="6"/>
  <c r="H18" i="3"/>
  <c r="D45" i="3" s="1"/>
  <c r="E12" i="9" s="1"/>
  <c r="F12" i="9" s="1"/>
  <c r="F25" i="4"/>
  <c r="J65" i="5"/>
  <c r="J14" i="5"/>
  <c r="G30" i="4"/>
  <c r="G28" i="7"/>
  <c r="J28" i="7" s="1"/>
  <c r="K28" i="7" s="1"/>
  <c r="F22" i="4"/>
  <c r="I26" i="4"/>
  <c r="F27" i="4"/>
  <c r="G31" i="4"/>
  <c r="I69" i="4"/>
  <c r="J51" i="5"/>
  <c r="O72" i="6"/>
  <c r="I37" i="7"/>
  <c r="H20" i="3"/>
  <c r="D47" i="3" s="1"/>
  <c r="E14" i="9" s="1"/>
  <c r="F14" i="9" s="1"/>
  <c r="M14" i="6"/>
  <c r="I25" i="4"/>
  <c r="J95" i="5"/>
  <c r="H17" i="4"/>
  <c r="G26" i="4"/>
  <c r="G41" i="7"/>
  <c r="J41" i="7" s="1"/>
  <c r="K41" i="7" s="1"/>
  <c r="F35" i="4"/>
  <c r="H41" i="7"/>
  <c r="D70" i="6"/>
  <c r="J87" i="5"/>
  <c r="H29" i="4"/>
  <c r="J12" i="5"/>
  <c r="J94" i="5"/>
  <c r="H21" i="4"/>
  <c r="I21" i="4"/>
  <c r="J69" i="5"/>
  <c r="J72" i="5"/>
  <c r="J45" i="5"/>
  <c r="F18" i="4"/>
  <c r="I30" i="4"/>
  <c r="K26" i="10"/>
  <c r="I22" i="4"/>
  <c r="I18" i="4"/>
  <c r="H35" i="4"/>
  <c r="J25" i="5"/>
  <c r="J53" i="5"/>
  <c r="K30" i="10"/>
  <c r="G19" i="4"/>
  <c r="E34" i="9"/>
  <c r="B21" i="2" s="1"/>
  <c r="H37" i="7"/>
  <c r="I42" i="7"/>
  <c r="K31" i="10"/>
  <c r="I24" i="4"/>
  <c r="H33" i="4"/>
  <c r="G29" i="4"/>
  <c r="G25" i="4"/>
  <c r="J66" i="5"/>
  <c r="F17" i="4"/>
  <c r="H26" i="4"/>
  <c r="J19" i="5"/>
  <c r="G18" i="4"/>
  <c r="K27" i="10"/>
  <c r="C44" i="3"/>
  <c r="F31" i="4"/>
  <c r="H69" i="4"/>
  <c r="P72" i="6"/>
  <c r="F23" i="4"/>
  <c r="G27" i="4"/>
  <c r="H31" i="4"/>
  <c r="K23" i="6"/>
  <c r="G23" i="4"/>
  <c r="L23" i="6"/>
  <c r="F42" i="7"/>
  <c r="J42" i="7" s="1"/>
  <c r="K42" i="7" s="1"/>
  <c r="H53" i="4"/>
  <c r="J81" i="5"/>
  <c r="J29" i="5"/>
  <c r="J8" i="5"/>
  <c r="J39" i="5"/>
  <c r="G17" i="4"/>
  <c r="F34" i="4"/>
  <c r="I34" i="4"/>
  <c r="H18" i="4"/>
  <c r="J52" i="5"/>
  <c r="H23" i="4"/>
  <c r="H42" i="7"/>
  <c r="I19" i="4"/>
  <c r="H32" i="4"/>
  <c r="M16" i="6"/>
  <c r="F31" i="7"/>
  <c r="K32" i="10"/>
  <c r="I20" i="4"/>
  <c r="F29" i="4"/>
  <c r="J38" i="5"/>
  <c r="J93" i="5"/>
  <c r="G34" i="7"/>
  <c r="G40" i="7"/>
  <c r="I17" i="4"/>
  <c r="F26" i="4"/>
  <c r="J100" i="5"/>
  <c r="J20" i="5"/>
  <c r="J102" i="5"/>
  <c r="H42" i="4"/>
  <c r="G35" i="4"/>
  <c r="G29" i="7"/>
  <c r="O66" i="6"/>
  <c r="P66" i="6" s="1"/>
  <c r="C52" i="3"/>
  <c r="H19" i="4"/>
  <c r="I23" i="4"/>
  <c r="H36" i="4"/>
  <c r="D52" i="3"/>
  <c r="I36" i="4"/>
  <c r="J31" i="5"/>
  <c r="O64" i="6"/>
  <c r="P64" i="6" s="1"/>
  <c r="H31" i="7"/>
  <c r="I38" i="7"/>
  <c r="J60" i="5"/>
  <c r="H20" i="4"/>
  <c r="J88" i="5"/>
  <c r="J9" i="5"/>
  <c r="I33" i="4"/>
  <c r="F21" i="4"/>
  <c r="H21" i="3"/>
  <c r="I29" i="4"/>
  <c r="J44" i="5"/>
  <c r="H30" i="4"/>
  <c r="J73" i="5"/>
  <c r="G22" i="4"/>
  <c r="J74" i="5"/>
  <c r="H22" i="4"/>
  <c r="B44" i="3"/>
  <c r="C11" i="9" s="1"/>
  <c r="D11" i="9" s="1"/>
  <c r="G69" i="4"/>
  <c r="F19" i="4"/>
  <c r="H27" i="4"/>
  <c r="B51" i="3"/>
  <c r="I27" i="4"/>
  <c r="F36" i="4"/>
  <c r="F32" i="4"/>
  <c r="F28" i="4"/>
  <c r="I32" i="4"/>
  <c r="F24" i="4"/>
  <c r="H28" i="4"/>
  <c r="J32" i="5"/>
  <c r="J59" i="5"/>
  <c r="J86" i="5"/>
  <c r="J23" i="6"/>
  <c r="I31" i="7"/>
  <c r="D80" i="6"/>
  <c r="D64" i="6"/>
  <c r="D69" i="6"/>
  <c r="D71" i="6"/>
  <c r="D58" i="6"/>
  <c r="D65" i="6"/>
  <c r="D86" i="6"/>
  <c r="C46" i="3"/>
  <c r="B46" i="3"/>
  <c r="C13" i="9" s="1"/>
  <c r="D13" i="9" s="1"/>
  <c r="D46" i="3"/>
  <c r="E13" i="9" s="1"/>
  <c r="F13" i="9" s="1"/>
  <c r="C47" i="3"/>
  <c r="B47" i="3"/>
  <c r="C14" i="9" s="1"/>
  <c r="D14" i="9" s="1"/>
  <c r="D84" i="6"/>
  <c r="D60" i="6"/>
  <c r="D68" i="6"/>
  <c r="D82" i="6"/>
  <c r="D73" i="6"/>
  <c r="E73" i="6"/>
  <c r="D67" i="6"/>
  <c r="D62" i="6"/>
  <c r="J38" i="7"/>
  <c r="K38" i="7" s="1"/>
  <c r="G64" i="4"/>
  <c r="G60" i="4"/>
  <c r="F60" i="4"/>
  <c r="F64" i="4"/>
  <c r="I63" i="4"/>
  <c r="I59" i="4"/>
  <c r="H63" i="4"/>
  <c r="H59" i="4"/>
  <c r="G63" i="4"/>
  <c r="F63" i="4"/>
  <c r="G59" i="4"/>
  <c r="F59" i="4"/>
  <c r="F65" i="4"/>
  <c r="F61" i="4"/>
  <c r="F57" i="4"/>
  <c r="G37" i="4"/>
  <c r="G42" i="4"/>
  <c r="F58" i="4"/>
  <c r="J18" i="5"/>
  <c r="J26" i="5"/>
  <c r="J68" i="5"/>
  <c r="J91" i="5"/>
  <c r="O62" i="6"/>
  <c r="P62" i="6" s="1"/>
  <c r="D63" i="6"/>
  <c r="J27" i="5"/>
  <c r="J49" i="5"/>
  <c r="M19" i="6"/>
  <c r="M23" i="6" s="1"/>
  <c r="D76" i="6"/>
  <c r="H39" i="7"/>
  <c r="J39" i="7" s="1"/>
  <c r="K39" i="7" s="1"/>
  <c r="G56" i="4"/>
  <c r="G52" i="4"/>
  <c r="G48" i="4"/>
  <c r="G44" i="4"/>
  <c r="G40" i="4"/>
  <c r="F56" i="4"/>
  <c r="F52" i="4"/>
  <c r="F44" i="4"/>
  <c r="F40" i="4"/>
  <c r="F48" i="4"/>
  <c r="I55" i="4"/>
  <c r="I51" i="4"/>
  <c r="I47" i="4"/>
  <c r="I43" i="4"/>
  <c r="I39" i="4"/>
  <c r="H51" i="4"/>
  <c r="H43" i="4"/>
  <c r="G55" i="4"/>
  <c r="G47" i="4"/>
  <c r="G39" i="4"/>
  <c r="F51" i="4"/>
  <c r="F43" i="4"/>
  <c r="H55" i="4"/>
  <c r="H47" i="4"/>
  <c r="H39" i="4"/>
  <c r="G51" i="4"/>
  <c r="G43" i="4"/>
  <c r="F47" i="4"/>
  <c r="F39" i="4"/>
  <c r="F53" i="4"/>
  <c r="F49" i="4"/>
  <c r="F45" i="4"/>
  <c r="F41" i="4"/>
  <c r="F37" i="4"/>
  <c r="I64" i="4"/>
  <c r="J10" i="5"/>
  <c r="J28" i="5"/>
  <c r="J71" i="5"/>
  <c r="I30" i="7"/>
  <c r="G54" i="4"/>
  <c r="G70" i="4"/>
  <c r="J82" i="5"/>
  <c r="O80" i="6"/>
  <c r="P80" i="6" s="1"/>
  <c r="O83" i="6"/>
  <c r="P83" i="6" s="1"/>
  <c r="I35" i="7"/>
  <c r="F70" i="4"/>
  <c r="H35" i="7"/>
  <c r="J35" i="7" s="1"/>
  <c r="K35" i="7" s="1"/>
  <c r="H54" i="4"/>
  <c r="I54" i="4"/>
  <c r="H65" i="4"/>
  <c r="H70" i="4"/>
  <c r="J83" i="5"/>
  <c r="I53" i="4"/>
  <c r="F54" i="4"/>
  <c r="D87" i="6"/>
  <c r="G49" i="4"/>
  <c r="J50" i="5"/>
  <c r="J104" i="5"/>
  <c r="B8" i="5" s="1"/>
  <c r="B9" i="5" s="1"/>
  <c r="H60" i="4"/>
  <c r="I65" i="4"/>
  <c r="J30" i="5"/>
  <c r="J61" i="5"/>
  <c r="J84" i="5"/>
  <c r="O57" i="6"/>
  <c r="P57" i="6" s="1"/>
  <c r="O87" i="6"/>
  <c r="H36" i="7"/>
  <c r="I36" i="7"/>
  <c r="I60" i="4"/>
  <c r="J62" i="5"/>
  <c r="D77" i="6"/>
  <c r="B25" i="9"/>
  <c r="I37" i="4"/>
  <c r="I48" i="4"/>
  <c r="G68" i="4"/>
  <c r="F68" i="4"/>
  <c r="F67" i="4"/>
  <c r="I71" i="4"/>
  <c r="I67" i="4"/>
  <c r="H71" i="4"/>
  <c r="H67" i="4"/>
  <c r="G71" i="4"/>
  <c r="G67" i="4"/>
  <c r="F71" i="4"/>
  <c r="F69" i="4"/>
  <c r="F50" i="4"/>
  <c r="F55" i="4"/>
  <c r="J41" i="5"/>
  <c r="J85" i="5"/>
  <c r="O82" i="6"/>
  <c r="P82" i="6" s="1"/>
  <c r="O70" i="6"/>
  <c r="P70" i="6" s="1"/>
  <c r="G36" i="7"/>
  <c r="H38" i="4"/>
  <c r="D83" i="6"/>
  <c r="H22" i="3"/>
  <c r="E78" i="6" s="1"/>
  <c r="J22" i="5"/>
  <c r="G61" i="4"/>
  <c r="J96" i="5"/>
  <c r="H48" i="4"/>
  <c r="J40" i="5"/>
  <c r="F66" i="4"/>
  <c r="J42" i="5"/>
  <c r="G66" i="4"/>
  <c r="J23" i="5"/>
  <c r="D81" i="6"/>
  <c r="D78" i="6"/>
  <c r="H32" i="7"/>
  <c r="G65" i="4"/>
  <c r="H44" i="4"/>
  <c r="G50" i="4"/>
  <c r="D74" i="6"/>
  <c r="H66" i="4"/>
  <c r="J98" i="5"/>
  <c r="G41" i="4"/>
  <c r="J55" i="5"/>
  <c r="J99" i="5"/>
  <c r="O81" i="6"/>
  <c r="P81" i="6" s="1"/>
  <c r="I33" i="7"/>
  <c r="G33" i="7"/>
  <c r="H33" i="7"/>
  <c r="D57" i="6"/>
  <c r="C39" i="10"/>
  <c r="H61" i="4"/>
  <c r="B26" i="9"/>
  <c r="G49" i="9"/>
  <c r="G48" i="9"/>
  <c r="I61" i="4"/>
  <c r="I56" i="4"/>
  <c r="J76" i="5"/>
  <c r="O106" i="8"/>
  <c r="J70" i="5"/>
  <c r="I58" i="4"/>
  <c r="I38" i="4"/>
  <c r="I44" i="4"/>
  <c r="D61" i="6"/>
  <c r="H40" i="4"/>
  <c r="H56" i="4"/>
  <c r="J77" i="5"/>
  <c r="H41" i="4"/>
  <c r="G57" i="4"/>
  <c r="J33" i="5"/>
  <c r="I41" i="4"/>
  <c r="D48" i="3"/>
  <c r="D51" i="3"/>
  <c r="I52" i="4"/>
  <c r="I57" i="4"/>
  <c r="I62" i="4"/>
  <c r="H68" i="4"/>
  <c r="J17" i="5"/>
  <c r="J35" i="5"/>
  <c r="O68" i="6"/>
  <c r="P68" i="6" s="1"/>
  <c r="O78" i="6"/>
  <c r="P78" i="6" s="1"/>
  <c r="F33" i="7"/>
  <c r="H38" i="7"/>
  <c r="F50" i="9"/>
  <c r="F51" i="9" s="1"/>
  <c r="J47" i="5"/>
  <c r="F38" i="4"/>
  <c r="J103" i="5"/>
  <c r="G38" i="4"/>
  <c r="J63" i="5"/>
  <c r="B53" i="3"/>
  <c r="B19" i="2" s="1"/>
  <c r="I50" i="4"/>
  <c r="J11" i="5"/>
  <c r="J5" i="5"/>
  <c r="J7" i="5"/>
  <c r="I40" i="4"/>
  <c r="F39" i="3"/>
  <c r="B56" i="3" s="1"/>
  <c r="E39" i="3"/>
  <c r="D39" i="3"/>
  <c r="F46" i="4"/>
  <c r="C39" i="3"/>
  <c r="G62" i="4"/>
  <c r="I46" i="4"/>
  <c r="H62" i="4"/>
  <c r="J34" i="5"/>
  <c r="J78" i="5"/>
  <c r="I68" i="4"/>
  <c r="J57" i="5"/>
  <c r="J67" i="5"/>
  <c r="J79" i="5"/>
  <c r="O65" i="6"/>
  <c r="P65" i="6" s="1"/>
  <c r="D79" i="6"/>
  <c r="J48" i="5"/>
  <c r="H49" i="4"/>
  <c r="I49" i="4"/>
  <c r="H45" i="4"/>
  <c r="I66" i="4"/>
  <c r="J43" i="5"/>
  <c r="J97" i="5"/>
  <c r="J75" i="5"/>
  <c r="D28" i="5" s="1"/>
  <c r="D85" i="6"/>
  <c r="F32" i="7"/>
  <c r="J24" i="5"/>
  <c r="I27" i="7"/>
  <c r="H27" i="7"/>
  <c r="G27" i="7"/>
  <c r="F27" i="7"/>
  <c r="G46" i="4"/>
  <c r="B39" i="10"/>
  <c r="B48" i="3"/>
  <c r="B52" i="3"/>
  <c r="J56" i="5"/>
  <c r="D59" i="6"/>
  <c r="H52" i="4"/>
  <c r="J16" i="5"/>
  <c r="J89" i="5"/>
  <c r="I42" i="4"/>
  <c r="H64" i="4"/>
  <c r="J92" i="5"/>
  <c r="J36" i="7"/>
  <c r="K36" i="7" s="1"/>
  <c r="G45" i="4"/>
  <c r="H50" i="4"/>
  <c r="J64" i="5"/>
  <c r="I45" i="4"/>
  <c r="O60" i="6"/>
  <c r="P60" i="6" s="1"/>
  <c r="O77" i="6"/>
  <c r="P77" i="6" s="1"/>
  <c r="O85" i="6"/>
  <c r="P85" i="6" s="1"/>
  <c r="O63" i="6"/>
  <c r="P63" i="6" s="1"/>
  <c r="G32" i="7"/>
  <c r="B18" i="2"/>
  <c r="J54" i="5"/>
  <c r="F62" i="4"/>
  <c r="H46" i="4"/>
  <c r="C48" i="3"/>
  <c r="C51" i="3"/>
  <c r="H57" i="4"/>
  <c r="D44" i="3"/>
  <c r="E11" i="9" s="1"/>
  <c r="F11" i="9" s="1"/>
  <c r="F42" i="4"/>
  <c r="J36" i="5"/>
  <c r="J46" i="5"/>
  <c r="J58" i="5"/>
  <c r="J90" i="5"/>
  <c r="J101" i="5"/>
  <c r="O59" i="6"/>
  <c r="P59" i="6" s="1"/>
  <c r="D66" i="6"/>
  <c r="I29" i="7"/>
  <c r="H29" i="7"/>
  <c r="J29" i="7" s="1"/>
  <c r="K29" i="7" s="1"/>
  <c r="O76" i="6"/>
  <c r="P76" i="6" s="1"/>
  <c r="O61" i="6"/>
  <c r="P61" i="6" s="1"/>
  <c r="I28" i="7"/>
  <c r="O74" i="6"/>
  <c r="P74" i="6" s="1"/>
  <c r="K25" i="10"/>
  <c r="K28" i="10"/>
  <c r="K29" i="10"/>
  <c r="O73" i="6"/>
  <c r="P73" i="6" s="1"/>
  <c r="G30" i="7"/>
  <c r="O58" i="6"/>
  <c r="P58" i="6" s="1"/>
  <c r="O86" i="6"/>
  <c r="P86" i="6" s="1"/>
  <c r="H30" i="7"/>
  <c r="I31" i="4"/>
  <c r="I35" i="4"/>
  <c r="O71" i="6"/>
  <c r="P71" i="6" s="1"/>
  <c r="O84" i="6"/>
  <c r="P84" i="6" s="1"/>
  <c r="G53" i="6"/>
  <c r="O69" i="6"/>
  <c r="P69" i="6" s="1"/>
  <c r="F40" i="7"/>
  <c r="D72" i="6"/>
  <c r="O67" i="6"/>
  <c r="P67" i="6" s="1"/>
  <c r="G20" i="4"/>
  <c r="G24" i="4"/>
  <c r="G28" i="4"/>
  <c r="G32" i="4"/>
  <c r="F34" i="7"/>
  <c r="G37" i="7"/>
  <c r="J37" i="7" s="1"/>
  <c r="K37" i="7" s="1"/>
  <c r="J34" i="7" l="1"/>
  <c r="K34" i="7" s="1"/>
  <c r="B45" i="3"/>
  <c r="C12" i="9" s="1"/>
  <c r="D12" i="9" s="1"/>
  <c r="D15" i="9" s="1"/>
  <c r="B50" i="3"/>
  <c r="D30" i="5"/>
  <c r="C45" i="3"/>
  <c r="D23" i="5"/>
  <c r="J27" i="7"/>
  <c r="K27" i="7" s="1"/>
  <c r="D27" i="5"/>
  <c r="J40" i="7"/>
  <c r="K40" i="7" s="1"/>
  <c r="B28" i="9"/>
  <c r="B54" i="3"/>
  <c r="D49" i="3"/>
  <c r="D57" i="3" s="1"/>
  <c r="J31" i="7"/>
  <c r="K31" i="7" s="1"/>
  <c r="D25" i="5"/>
  <c r="D22" i="5"/>
  <c r="J30" i="7"/>
  <c r="K30" i="7" s="1"/>
  <c r="E82" i="6"/>
  <c r="D26" i="5"/>
  <c r="C50" i="3"/>
  <c r="F85" i="6"/>
  <c r="H85" i="6" s="1"/>
  <c r="F87" i="6"/>
  <c r="F59" i="6"/>
  <c r="H59" i="6" s="1"/>
  <c r="F61" i="6"/>
  <c r="H61" i="6" s="1"/>
  <c r="F74" i="6"/>
  <c r="H74" i="6" s="1"/>
  <c r="F76" i="6"/>
  <c r="H76" i="6" s="1"/>
  <c r="F63" i="6"/>
  <c r="H63" i="6" s="1"/>
  <c r="F78" i="6"/>
  <c r="H78" i="6" s="1"/>
  <c r="F65" i="6"/>
  <c r="H65" i="6" s="1"/>
  <c r="F67" i="6"/>
  <c r="H67" i="6" s="1"/>
  <c r="F80" i="6"/>
  <c r="H80" i="6" s="1"/>
  <c r="F84" i="6"/>
  <c r="H84" i="6" s="1"/>
  <c r="F81" i="6"/>
  <c r="H81" i="6" s="1"/>
  <c r="F83" i="6"/>
  <c r="H83" i="6" s="1"/>
  <c r="F68" i="6"/>
  <c r="H68" i="6" s="1"/>
  <c r="F70" i="6"/>
  <c r="H70" i="6" s="1"/>
  <c r="F79" i="6"/>
  <c r="H79" i="6" s="1"/>
  <c r="F72" i="6"/>
  <c r="H72" i="6" s="1"/>
  <c r="F69" i="6"/>
  <c r="H69" i="6" s="1"/>
  <c r="F86" i="6"/>
  <c r="H86" i="6" s="1"/>
  <c r="F82" i="6"/>
  <c r="H82" i="6" s="1"/>
  <c r="F75" i="6"/>
  <c r="H75" i="6" s="1"/>
  <c r="F77" i="6"/>
  <c r="H77" i="6" s="1"/>
  <c r="F71" i="6"/>
  <c r="H71" i="6" s="1"/>
  <c r="F62" i="6"/>
  <c r="H62" i="6" s="1"/>
  <c r="F58" i="6"/>
  <c r="H58" i="6" s="1"/>
  <c r="F64" i="6"/>
  <c r="H64" i="6" s="1"/>
  <c r="F73" i="6"/>
  <c r="H73" i="6" s="1"/>
  <c r="F60" i="6"/>
  <c r="H60" i="6" s="1"/>
  <c r="F57" i="6"/>
  <c r="H57" i="6" s="1"/>
  <c r="F66" i="6"/>
  <c r="H66" i="6" s="1"/>
  <c r="E86" i="6"/>
  <c r="E80" i="6"/>
  <c r="C55" i="3"/>
  <c r="C56" i="3"/>
  <c r="C54" i="3"/>
  <c r="C53" i="3"/>
  <c r="E72" i="6"/>
  <c r="C49" i="3"/>
  <c r="K17" i="5"/>
  <c r="L17" i="5" s="1"/>
  <c r="K11" i="5"/>
  <c r="L11" i="5" s="1"/>
  <c r="K5" i="5"/>
  <c r="L5" i="5" s="1"/>
  <c r="K28" i="5"/>
  <c r="L28" i="5" s="1"/>
  <c r="K104" i="5"/>
  <c r="L104" i="5" s="1"/>
  <c r="K97" i="5"/>
  <c r="L97" i="5" s="1"/>
  <c r="K90" i="5"/>
  <c r="L90" i="5" s="1"/>
  <c r="K83" i="5"/>
  <c r="L83" i="5" s="1"/>
  <c r="K76" i="5"/>
  <c r="L76" i="5" s="1"/>
  <c r="K69" i="5"/>
  <c r="L69" i="5" s="1"/>
  <c r="K62" i="5"/>
  <c r="L62" i="5" s="1"/>
  <c r="K55" i="5"/>
  <c r="L55" i="5" s="1"/>
  <c r="K48" i="5"/>
  <c r="L48" i="5" s="1"/>
  <c r="K41" i="5"/>
  <c r="L41" i="5" s="1"/>
  <c r="K34" i="5"/>
  <c r="K22" i="5"/>
  <c r="L22" i="5" s="1"/>
  <c r="K16" i="5"/>
  <c r="L16" i="5" s="1"/>
  <c r="K10" i="5"/>
  <c r="L10" i="5" s="1"/>
  <c r="K103" i="5"/>
  <c r="L103" i="5" s="1"/>
  <c r="K96" i="5"/>
  <c r="L96" i="5" s="1"/>
  <c r="K89" i="5"/>
  <c r="L89" i="5" s="1"/>
  <c r="K82" i="5"/>
  <c r="L82" i="5" s="1"/>
  <c r="K75" i="5"/>
  <c r="L75" i="5" s="1"/>
  <c r="K68" i="5"/>
  <c r="L68" i="5" s="1"/>
  <c r="K61" i="5"/>
  <c r="L61" i="5" s="1"/>
  <c r="K54" i="5"/>
  <c r="L54" i="5" s="1"/>
  <c r="B12" i="5" s="1"/>
  <c r="K47" i="5"/>
  <c r="L47" i="5" s="1"/>
  <c r="K40" i="5"/>
  <c r="L40" i="5" s="1"/>
  <c r="K33" i="5"/>
  <c r="L33" i="5" s="1"/>
  <c r="K27" i="5"/>
  <c r="L27" i="5" s="1"/>
  <c r="K24" i="5"/>
  <c r="L24" i="5" s="1"/>
  <c r="K18" i="5"/>
  <c r="L18" i="5" s="1"/>
  <c r="K12" i="5"/>
  <c r="K99" i="5"/>
  <c r="L99" i="5" s="1"/>
  <c r="K92" i="5"/>
  <c r="L92" i="5" s="1"/>
  <c r="K85" i="5"/>
  <c r="L85" i="5" s="1"/>
  <c r="K78" i="5"/>
  <c r="L78" i="5" s="1"/>
  <c r="K71" i="5"/>
  <c r="L71" i="5" s="1"/>
  <c r="K64" i="5"/>
  <c r="L64" i="5" s="1"/>
  <c r="K57" i="5"/>
  <c r="L57" i="5" s="1"/>
  <c r="K50" i="5"/>
  <c r="L50" i="5" s="1"/>
  <c r="K43" i="5"/>
  <c r="L43" i="5" s="1"/>
  <c r="K36" i="5"/>
  <c r="L36" i="5" s="1"/>
  <c r="K65" i="5"/>
  <c r="L65" i="5" s="1"/>
  <c r="K6" i="5"/>
  <c r="L6" i="5" s="1"/>
  <c r="K81" i="5"/>
  <c r="L81" i="5" s="1"/>
  <c r="K80" i="5"/>
  <c r="L80" i="5" s="1"/>
  <c r="K9" i="5"/>
  <c r="L9" i="5" s="1"/>
  <c r="K79" i="5"/>
  <c r="L79" i="5" s="1"/>
  <c r="K67" i="5"/>
  <c r="L67" i="5" s="1"/>
  <c r="K15" i="5"/>
  <c r="L15" i="5" s="1"/>
  <c r="K32" i="5"/>
  <c r="L32" i="5" s="1"/>
  <c r="K14" i="5"/>
  <c r="L14" i="5" s="1"/>
  <c r="K31" i="5"/>
  <c r="L31" i="5" s="1"/>
  <c r="K42" i="5"/>
  <c r="L42" i="5" s="1"/>
  <c r="K35" i="5"/>
  <c r="L35" i="5" s="1"/>
  <c r="K8" i="5"/>
  <c r="L8" i="5" s="1"/>
  <c r="K87" i="5"/>
  <c r="L87" i="5" s="1"/>
  <c r="K44" i="5"/>
  <c r="L44" i="5" s="1"/>
  <c r="K7" i="5"/>
  <c r="L7" i="5" s="1"/>
  <c r="K98" i="5"/>
  <c r="L98" i="5" s="1"/>
  <c r="K100" i="5"/>
  <c r="L100" i="5" s="1"/>
  <c r="K88" i="5"/>
  <c r="L88" i="5" s="1"/>
  <c r="K45" i="5"/>
  <c r="L45" i="5" s="1"/>
  <c r="K25" i="5"/>
  <c r="L25" i="5" s="1"/>
  <c r="K56" i="5"/>
  <c r="L56" i="5" s="1"/>
  <c r="K66" i="5"/>
  <c r="L66" i="5" s="1"/>
  <c r="K74" i="5"/>
  <c r="L74" i="5" s="1"/>
  <c r="B13" i="5" s="1"/>
  <c r="K95" i="5"/>
  <c r="L95" i="5" s="1"/>
  <c r="K53" i="5"/>
  <c r="L53" i="5" s="1"/>
  <c r="K86" i="5"/>
  <c r="L86" i="5" s="1"/>
  <c r="K23" i="5"/>
  <c r="L23" i="5" s="1"/>
  <c r="K13" i="5"/>
  <c r="L13" i="5" s="1"/>
  <c r="K77" i="5"/>
  <c r="L77" i="5" s="1"/>
  <c r="K52" i="5"/>
  <c r="L52" i="5" s="1"/>
  <c r="K73" i="5"/>
  <c r="L73" i="5" s="1"/>
  <c r="K26" i="5"/>
  <c r="L26" i="5" s="1"/>
  <c r="K70" i="5"/>
  <c r="L70" i="5" s="1"/>
  <c r="K91" i="5"/>
  <c r="L91" i="5" s="1"/>
  <c r="K63" i="5"/>
  <c r="L63" i="5" s="1"/>
  <c r="K21" i="5"/>
  <c r="L21" i="5" s="1"/>
  <c r="K84" i="5"/>
  <c r="L84" i="5" s="1"/>
  <c r="K30" i="5"/>
  <c r="L30" i="5" s="1"/>
  <c r="K94" i="5"/>
  <c r="L94" i="5" s="1"/>
  <c r="B14" i="5" s="1"/>
  <c r="K51" i="5"/>
  <c r="L51" i="5" s="1"/>
  <c r="K39" i="5"/>
  <c r="L39" i="5" s="1"/>
  <c r="D21" i="5"/>
  <c r="K38" i="5"/>
  <c r="L38" i="5" s="1"/>
  <c r="K37" i="5"/>
  <c r="L37" i="5" s="1"/>
  <c r="K93" i="5"/>
  <c r="L93" i="5" s="1"/>
  <c r="K72" i="5"/>
  <c r="L72" i="5" s="1"/>
  <c r="K60" i="5"/>
  <c r="L60" i="5" s="1"/>
  <c r="K29" i="5"/>
  <c r="L29" i="5" s="1"/>
  <c r="K20" i="5"/>
  <c r="K49" i="5"/>
  <c r="L49" i="5" s="1"/>
  <c r="K102" i="5"/>
  <c r="L102" i="5" s="1"/>
  <c r="K59" i="5"/>
  <c r="L59" i="5" s="1"/>
  <c r="K19" i="5"/>
  <c r="L19" i="5" s="1"/>
  <c r="B10" i="5"/>
  <c r="K101" i="5"/>
  <c r="L101" i="5" s="1"/>
  <c r="K58" i="5"/>
  <c r="L58" i="5" s="1"/>
  <c r="K46" i="5"/>
  <c r="L46" i="5" s="1"/>
  <c r="E83" i="6"/>
  <c r="E60" i="6"/>
  <c r="E63" i="6"/>
  <c r="B92" i="6"/>
  <c r="P87" i="6"/>
  <c r="E71" i="6"/>
  <c r="B27" i="9"/>
  <c r="E77" i="6"/>
  <c r="E70" i="6"/>
  <c r="E67" i="6"/>
  <c r="D29" i="5"/>
  <c r="E57" i="6"/>
  <c r="E69" i="6"/>
  <c r="E64" i="6"/>
  <c r="E62" i="6"/>
  <c r="E58" i="6"/>
  <c r="B41" i="10"/>
  <c r="B40" i="10"/>
  <c r="B42" i="10" s="1"/>
  <c r="J33" i="7"/>
  <c r="K33" i="7" s="1"/>
  <c r="E84" i="6"/>
  <c r="E75" i="6"/>
  <c r="E85" i="6"/>
  <c r="E66" i="6"/>
  <c r="D24" i="5"/>
  <c r="F15" i="9"/>
  <c r="C41" i="10"/>
  <c r="C40" i="10"/>
  <c r="C42" i="10" s="1"/>
  <c r="E79" i="6"/>
  <c r="E65" i="6"/>
  <c r="E59" i="6"/>
  <c r="E61" i="6"/>
  <c r="E35" i="9"/>
  <c r="E36" i="9" s="1"/>
  <c r="E74" i="6"/>
  <c r="B49" i="3"/>
  <c r="B55" i="3"/>
  <c r="D53" i="3"/>
  <c r="B20" i="2" s="1"/>
  <c r="D55" i="3"/>
  <c r="D54" i="3"/>
  <c r="D56" i="3"/>
  <c r="E87" i="6"/>
  <c r="E76" i="6"/>
  <c r="E68" i="6"/>
  <c r="J32" i="7"/>
  <c r="K32" i="7" s="1"/>
  <c r="E81" i="6"/>
  <c r="C57" i="3" l="1"/>
  <c r="D31" i="5"/>
  <c r="I76" i="6"/>
  <c r="K76" i="6" s="1"/>
  <c r="I78" i="6"/>
  <c r="K78" i="6" s="1"/>
  <c r="I63" i="6"/>
  <c r="K63" i="6" s="1"/>
  <c r="I65" i="6"/>
  <c r="K65" i="6" s="1"/>
  <c r="I80" i="6"/>
  <c r="K80" i="6" s="1"/>
  <c r="I67" i="6"/>
  <c r="K67" i="6" s="1"/>
  <c r="I82" i="6"/>
  <c r="K82" i="6" s="1"/>
  <c r="I69" i="6"/>
  <c r="K69" i="6" s="1"/>
  <c r="I84" i="6"/>
  <c r="K84" i="6" s="1"/>
  <c r="I81" i="6"/>
  <c r="K81" i="6" s="1"/>
  <c r="I70" i="6"/>
  <c r="K70" i="6" s="1"/>
  <c r="I87" i="6"/>
  <c r="I59" i="6"/>
  <c r="K59" i="6" s="1"/>
  <c r="I85" i="6"/>
  <c r="K85" i="6" s="1"/>
  <c r="I57" i="6"/>
  <c r="K57" i="6" s="1"/>
  <c r="I72" i="6"/>
  <c r="K72" i="6" s="1"/>
  <c r="I74" i="6"/>
  <c r="K74" i="6" s="1"/>
  <c r="I64" i="6"/>
  <c r="K64" i="6" s="1"/>
  <c r="I61" i="6"/>
  <c r="K61" i="6" s="1"/>
  <c r="I86" i="6"/>
  <c r="K86" i="6" s="1"/>
  <c r="I62" i="6"/>
  <c r="K62" i="6" s="1"/>
  <c r="I71" i="6"/>
  <c r="K71" i="6" s="1"/>
  <c r="I77" i="6"/>
  <c r="K77" i="6" s="1"/>
  <c r="I66" i="6"/>
  <c r="K66" i="6" s="1"/>
  <c r="I58" i="6"/>
  <c r="K58" i="6" s="1"/>
  <c r="I68" i="6"/>
  <c r="K68" i="6" s="1"/>
  <c r="I73" i="6"/>
  <c r="K73" i="6" s="1"/>
  <c r="I79" i="6"/>
  <c r="K79" i="6" s="1"/>
  <c r="I60" i="6"/>
  <c r="K60" i="6" s="1"/>
  <c r="I83" i="6"/>
  <c r="K83" i="6" s="1"/>
  <c r="I75" i="6"/>
  <c r="K75" i="6" s="1"/>
  <c r="L34" i="5"/>
  <c r="B11" i="5"/>
  <c r="C18" i="5"/>
  <c r="D18" i="5" s="1"/>
  <c r="L20" i="5"/>
  <c r="C17" i="5"/>
  <c r="D17" i="5" s="1"/>
  <c r="L12" i="5"/>
  <c r="B57" i="3"/>
  <c r="B90" i="6"/>
  <c r="H87" i="6"/>
  <c r="B91" i="6" l="1"/>
  <c r="K87" i="6"/>
</calcChain>
</file>

<file path=xl/sharedStrings.xml><?xml version="1.0" encoding="utf-8"?>
<sst xmlns="http://schemas.openxmlformats.org/spreadsheetml/2006/main" count="1159" uniqueCount="605">
  <si>
    <t>데일리 농장 GDD</t>
  </si>
  <si>
    <t>홈 카드 왼쪽 한 달 시즌제 농사 게임. 계획 문서 docs/farm-plan.md · 입력 문서 docs/farm-*.md</t>
  </si>
  <si>
    <t>읽는 법</t>
  </si>
  <si>
    <t>입력 (정한 숫자 · 표)</t>
  </si>
  <si>
    <t>파란 글씨 + 연한 노란 바탕. 여기를 고치면 수식이 따라 바뀌어요</t>
  </si>
  <si>
    <t>수식</t>
  </si>
  <si>
    <t>검정 글씨. 고치지 마세요</t>
  </si>
  <si>
    <t>다른 시트에서 가져온 값</t>
  </si>
  <si>
    <t>초록 글씨</t>
  </si>
  <si>
    <t>진행 상황 (계획 문서와 같음)</t>
  </si>
  <si>
    <t>항목</t>
  </si>
  <si>
    <t>상태</t>
  </si>
  <si>
    <t>계획 §</t>
  </si>
  <si>
    <t>NP (버는 쪽)</t>
  </si>
  <si>
    <t>확정</t>
  </si>
  <si>
    <t>§2</t>
  </si>
  <si>
    <t>시즌 · 초기화</t>
  </si>
  <si>
    <t>§3</t>
  </si>
  <si>
    <t>탐험 보상 (리스트 · 히든 · 보물 상자)</t>
  </si>
  <si>
    <t>§4</t>
  </si>
  <si>
    <t>농사 · 씨앗 → 작물 · 작물 55종</t>
  </si>
  <si>
    <t>확정 (작물 이름은 Claude 추천, 나중에 시트에서 고침)</t>
  </si>
  <si>
    <t>§5</t>
  </si>
  <si>
    <t>품질</t>
  </si>
  <si>
    <t>§6</t>
  </si>
  <si>
    <t>제작 (강화 39단계)</t>
  </si>
  <si>
    <t>확정 (10/5 탐험 강화 · 장신구 착용 추가)</t>
  </si>
  <si>
    <t>§7</t>
  </si>
  <si>
    <t>제작 비용</t>
  </si>
  <si>
    <t>확정 (Claude 추천, 2주 풀업그레이드 기준)</t>
  </si>
  <si>
    <t>§8</t>
  </si>
  <si>
    <t>요리 목록 (100개 · 재료)</t>
  </si>
  <si>
    <t>확정 (재료 규칙은 사용자, 목록은 Claude)</t>
  </si>
  <si>
    <t>§13</t>
  </si>
  <si>
    <t>요리하기 · 별 · 판매 값 · 도감 6개 고르기</t>
  </si>
  <si>
    <t>확정 (10/5 사용자, 별 계산식 · 등급 기본 가격은 Claude 추천안 그대로)</t>
  </si>
  <si>
    <t>§14</t>
  </si>
  <si>
    <t>도감 등록 · 갱신</t>
  </si>
  <si>
    <t>확정 (10/5 사용자)</t>
  </si>
  <si>
    <t>화폐 · 분해 · 판매 (SP · AP · 돈)</t>
  </si>
  <si>
    <t>§12 · §14</t>
  </si>
  <si>
    <t>상점 (AP · SP · NP 상점 3개, 돈 상점은 10/5 없앰) · NP 상점 상품</t>
  </si>
  <si>
    <t>§15</t>
  </si>
  <si>
    <t>AP · SP 상점 규칙 (매일 2개씩 랜덤 · AP와 SP는 같은 리스트 · SP = AP × 10) · AP · SP 상품 7개</t>
  </si>
  <si>
    <t>확정 (10/5 사용자, 값 · 한도는 Claude 추천)</t>
  </si>
  <si>
    <t>제작에 돈</t>
  </si>
  <si>
    <t>확정 (10/5 사용자, 돈 값은 Claude 추천안 그대로)</t>
  </si>
  <si>
    <t>장신구 옵션 (줄 수 · 등급 · 옵션 9개 · 고대 유물)</t>
  </si>
  <si>
    <t>확정 (줄 수 · 등급 확률 · 고대 유물은 사용자, 옵션 · 수치는 Claude 추천)</t>
  </si>
  <si>
    <t>§11</t>
  </si>
  <si>
    <t>장신구 착용 · 잠금 · 가방</t>
  </si>
  <si>
    <t>빼기로 한 것</t>
  </si>
  <si>
    <t>시즌 작물 품질 ↑↓, 시즌 버프/디버프, 작물을 제작 재료로 쓰기, 요리 먹기(버프), 돈 상점</t>
  </si>
  <si>
    <t>알고 두는 빈 곳 (일단 그대로, 만들어 보고 고침)</t>
  </si>
  <si>
    <t>15일부터 자재 · 돈을 쓸 곳이 없음 (강화가 14일에 끝남) → 제작 시트 맨 아래</t>
  </si>
  <si>
    <t>NP는 하루 약 42~68 들어오는데 NP 상점은 하루 최대 24 → 화폐·상점 시트 "하루 NP 남는 양"</t>
  </si>
  <si>
    <t>시트</t>
  </si>
  <si>
    <t>내용</t>
  </si>
  <si>
    <t>NP·시즌</t>
  </si>
  <si>
    <t>NP 버는 값 · 하루/시즌 최대 · 시즌 규칙 (§2 · §3)</t>
  </si>
  <si>
    <t>탐험</t>
  </si>
  <si>
    <t>굴림 확률표 · 히든 · 보물 상자 · 하루 기대값 (§4)</t>
  </si>
  <si>
    <t>작물</t>
  </si>
  <si>
    <t>씨앗 → 작물 등급 · 수확 개수 · 작물 55종 (이름 고치는 곳) (§5)</t>
  </si>
  <si>
    <t>품질표</t>
  </si>
  <si>
    <t>품질 분포 · 그래프 2개 · 정성스레 (§6)</t>
  </si>
  <si>
    <t>제작</t>
  </si>
  <si>
    <t>39단계 효과 · 비용(자재 · 고급 자재 · 돈) · 목표일 · 날짜별 검산 (§7 · §8)</t>
  </si>
  <si>
    <t>요리·별</t>
  </si>
  <si>
    <t>기본 가격 · 별 배율 · 룰렛 · 도감 개수 · 별 확률 계산기 (§14)</t>
  </si>
  <si>
    <t>요리 목록</t>
  </si>
  <si>
    <t>요리 100개 · 재료 · 원래 값 범위 · 재료 이름/등급 확인 (§13)</t>
  </si>
  <si>
    <t>화폐·상점</t>
  </si>
  <si>
    <t>분해 값 · 하루 SP/AP · NP 상점 · AP·SP 상점 (§12 · §15)</t>
  </si>
  <si>
    <t>장신구</t>
  </si>
  <si>
    <t>줄 수 · 등급 확률 · 옵션 9개 수치 · 착용 · 고대 유물 (§11)</t>
  </si>
  <si>
    <t>NP · 시즌</t>
  </si>
  <si>
    <t>계획 §2 · §3. NP 잔액 = 이번 시즌 번 NP(기록에서 매번 계산) + 보물 상자 NP − 쓴 NP</t>
  </si>
  <si>
    <t>NP 버는 쪽</t>
  </si>
  <si>
    <t>NP</t>
  </si>
  <si>
    <t>출석 (그날 허브를 열면)</t>
  </si>
  <si>
    <t>데일리 성공</t>
  </si>
  <si>
    <t>데일리 실패 · 시간 초과 · 포기</t>
  </si>
  <si>
    <t>게임</t>
  </si>
  <si>
    <t>모드 수</t>
  </si>
  <si>
    <t>스도쿠</t>
  </si>
  <si>
    <t>삼각관계</t>
  </si>
  <si>
    <t>워드십</t>
  </si>
  <si>
    <t>흑백 지뢰찾기</t>
  </si>
  <si>
    <t>게임 × 모드 합계</t>
  </si>
  <si>
    <t>시즌 일수 (가장 긴 달)</t>
  </si>
  <si>
    <t>하루 최대 (출석 + 모두 성공)</t>
  </si>
  <si>
    <t>시즌 최대</t>
  </si>
  <si>
    <t>하루 보물 상자 NP (탐험 강화 0)</t>
  </si>
  <si>
    <t>하루 보물 상자 NP (탐험 강화 2)</t>
  </si>
  <si>
    <t>NP 상점에서 하루에 쓸 수 있는 최대</t>
  </si>
  <si>
    <t>시즌: 한 달이 한 시즌. 다음 달 1일 06:00 KST에 바뀌고, NP 잔액 · 가방 · 밭 · 강화 · 탐험 · SP · AP · 돈을 전부 초기화</t>
  </si>
  <si>
    <t>지난 시즌은 도감 기록(등록 수 0~6 · 별 합 0~18)만 history에 남겨 홈 프로필에 표시</t>
  </si>
  <si>
    <t>도감 6개 = 시드 farm:{season}:codex로 요리 100개 중 등급별로 고름 (요리·별 시트). 시즌 내용이 모두에게 같음</t>
  </si>
  <si>
    <t>지난 퍼즐 · 자유 연습은 NP에 안 들어감 (원래 기록되지 않음)</t>
  </si>
  <si>
    <t>계획 §4. 1시간마다 r번 굴림 (r = 기본 + 탐험 강화 단계), 상한 48시간. 굴림 1번 = 히든 1% → 아니면 분류 → 분류 안 아이템 → 개수</t>
  </si>
  <si>
    <t>값</t>
  </si>
  <si>
    <t>1시간마다 굴림 (기본)</t>
  </si>
  <si>
    <t>탐험 상한 (시간)</t>
  </si>
  <si>
    <t>히든 확률</t>
  </si>
  <si>
    <t>NP 부스트 배율</t>
  </si>
  <si>
    <t>분류</t>
  </si>
  <si>
    <t>확률</t>
  </si>
  <si>
    <t>씨앗</t>
  </si>
  <si>
    <t>자재</t>
  </si>
  <si>
    <t>장비</t>
  </si>
  <si>
    <t>합계 (100%여야 함)</t>
  </si>
  <si>
    <t>아이템</t>
  </si>
  <si>
    <t>분류 안 확률</t>
  </si>
  <si>
    <t>개수 최소</t>
  </si>
  <si>
    <t>개수 최대</t>
  </si>
  <si>
    <t>평균 개수</t>
  </si>
  <si>
    <t>굴림 1번에서 나올 확률</t>
  </si>
  <si>
    <t>굴림 1번 기대 개수</t>
  </si>
  <si>
    <t>일반 씨앗</t>
  </si>
  <si>
    <t>고급 씨앗</t>
  </si>
  <si>
    <t>희귀 씨앗</t>
  </si>
  <si>
    <t>전설 씨앗</t>
  </si>
  <si>
    <t>고급 자재</t>
  </si>
  <si>
    <t>분류마다 합계 (각 100%여야 함)</t>
  </si>
  <si>
    <t>히든 아이템</t>
  </si>
  <si>
    <t>히든 안 확률</t>
  </si>
  <si>
    <t>열면</t>
  </si>
  <si>
    <t>보물 상자</t>
  </si>
  <si>
    <t>아래 표에서 1줄</t>
  </si>
  <si>
    <t>고대 유물</t>
  </si>
  <si>
    <t>옵션 2줄 장신구 1개, 그중 1줄은 전설 (장신구 시트)</t>
  </si>
  <si>
    <t>보물 상자 결과</t>
  </si>
  <si>
    <t>즉시 완료권</t>
  </si>
  <si>
    <t>100 NP</t>
  </si>
  <si>
    <t>200 NP</t>
  </si>
  <si>
    <t>전설 씨앗 ×3</t>
  </si>
  <si>
    <t>고급 자재 ×50</t>
  </si>
  <si>
    <t>즉시 완료권 ×10</t>
  </si>
  <si>
    <t>보물 상자 ×2</t>
  </si>
  <si>
    <t>합계 확률</t>
  </si>
  <si>
    <t>상자 1개를 열면 여는 횟수 (×2 연쇄 포함)</t>
  </si>
  <si>
    <t>상자 1개 평균</t>
  </si>
  <si>
    <t>하루 기대값</t>
  </si>
  <si>
    <t>탐험 강화 0</t>
  </si>
  <si>
    <t>탐험 강화 1</t>
  </si>
  <si>
    <t>탐험 강화 2</t>
  </si>
  <si>
    <t>탐험 강화 단계</t>
  </si>
  <si>
    <t>하루 굴림 (48시간 안에 한 번씩 받으면)</t>
  </si>
  <si>
    <t>상자에서 NP</t>
  </si>
  <si>
    <t>상자에서 전설 씨앗</t>
  </si>
  <si>
    <t>상자에서 고급 자재</t>
  </si>
  <si>
    <t>상자에서 즉시 완료권</t>
  </si>
  <si>
    <t>고급 자재 (상자 포함)</t>
  </si>
  <si>
    <t>탐험 강화 1 · 2는 만든 다음 날부터 하루 굴림이 늘어요 (제작 시트의 날짜별 표).</t>
  </si>
  <si>
    <t>계획 §5. 모든 씨앗은 8시간 뒤 수확. 작물 등급은 심는 순간 굴림. 이름 칸을 고치면 요리 목록의 재료 이름도 같이 고쳐 주세요</t>
  </si>
  <si>
    <t>씨앗 \ 작물</t>
  </si>
  <si>
    <t>일반</t>
  </si>
  <si>
    <t>고급</t>
  </si>
  <si>
    <t>희귀</t>
  </si>
  <si>
    <t>전설</t>
  </si>
  <si>
    <t>합계</t>
  </si>
  <si>
    <t>작물 등급</t>
  </si>
  <si>
    <t>수확 최소</t>
  </si>
  <si>
    <t>수확 최대</t>
  </si>
  <si>
    <t>작물 수</t>
  </si>
  <si>
    <t>#</t>
  </si>
  <si>
    <t>등급</t>
  </si>
  <si>
    <t>작물 (이름)</t>
  </si>
  <si>
    <t>일반 씨앗 → 이 작물</t>
  </si>
  <si>
    <t>고급 씨앗 →</t>
  </si>
  <si>
    <t>희귀 씨앗 →</t>
  </si>
  <si>
    <t>전설 씨앗 →</t>
  </si>
  <si>
    <t>쓰이는 요리 수</t>
  </si>
  <si>
    <t>감자</t>
  </si>
  <si>
    <t>고구마</t>
  </si>
  <si>
    <t>당근</t>
  </si>
  <si>
    <t>무</t>
  </si>
  <si>
    <t>양파</t>
  </si>
  <si>
    <t>대파</t>
  </si>
  <si>
    <t>마늘</t>
  </si>
  <si>
    <t>배추</t>
  </si>
  <si>
    <t>양배추</t>
  </si>
  <si>
    <t>상추</t>
  </si>
  <si>
    <t>시금치</t>
  </si>
  <si>
    <t>오이</t>
  </si>
  <si>
    <t>애호박</t>
  </si>
  <si>
    <t>가지</t>
  </si>
  <si>
    <t>토마토</t>
  </si>
  <si>
    <t>고추</t>
  </si>
  <si>
    <t>옥수수</t>
  </si>
  <si>
    <t>벼</t>
  </si>
  <si>
    <t>밀</t>
  </si>
  <si>
    <t>콩</t>
  </si>
  <si>
    <t>딸기</t>
  </si>
  <si>
    <t>수박</t>
  </si>
  <si>
    <t>멜론</t>
  </si>
  <si>
    <t>참외</t>
  </si>
  <si>
    <t>포도</t>
  </si>
  <si>
    <t>블루베리</t>
  </si>
  <si>
    <t>체리</t>
  </si>
  <si>
    <t>복숭아</t>
  </si>
  <si>
    <t>키위</t>
  </si>
  <si>
    <t>파인애플</t>
  </si>
  <si>
    <t>망고</t>
  </si>
  <si>
    <t>아보카도</t>
  </si>
  <si>
    <t>아스파라거스</t>
  </si>
  <si>
    <t>브로콜리</t>
  </si>
  <si>
    <t>파프리카</t>
  </si>
  <si>
    <t>단호박</t>
  </si>
  <si>
    <t>표고버섯</t>
  </si>
  <si>
    <t>생강</t>
  </si>
  <si>
    <t>참깨</t>
  </si>
  <si>
    <t>땅콩</t>
  </si>
  <si>
    <t>인삼</t>
  </si>
  <si>
    <t>송이버섯</t>
  </si>
  <si>
    <t>트러플</t>
  </si>
  <si>
    <t>사프란</t>
  </si>
  <si>
    <t>바닐라</t>
  </si>
  <si>
    <t>카카오</t>
  </si>
  <si>
    <t>커피 체리</t>
  </si>
  <si>
    <t>와사비</t>
  </si>
  <si>
    <t>샤인머스캣</t>
  </si>
  <si>
    <t>용과</t>
  </si>
  <si>
    <t>황금 사과</t>
  </si>
  <si>
    <t>달빛 복숭아</t>
  </si>
  <si>
    <t>별빛 버섯</t>
  </si>
  <si>
    <t>무지개 옥수수</t>
  </si>
  <si>
    <t>불꽃 고추</t>
  </si>
  <si>
    <t>예: 일반 씨앗 → 감자 = 70% ÷ 20 = 3.5%. 쓰이는 요리 수가 0이면 그 작물로 만드는 요리가 없어요</t>
  </si>
  <si>
    <t>계획 §6. 작물 품질은 1~100. 평평한 끝까지 확률이 같고 그 위로 정규분포 꼬리처럼 줄어요. σ는 p(100)이 목표가 되게 맞춘 값</t>
  </si>
  <si>
    <t>품질 k</t>
  </si>
  <si>
    <t>가중치</t>
  </si>
  <si>
    <t>p(k)</t>
  </si>
  <si>
    <t>P(≤k)</t>
  </si>
  <si>
    <t>P(≥k)</t>
  </si>
  <si>
    <t>평평한 끝</t>
  </si>
  <si>
    <t>σ (p(100)이 목표가 되게 맞춤)</t>
  </si>
  <si>
    <t>p(100) 목표</t>
  </si>
  <si>
    <t>p(100) 지금</t>
  </si>
  <si>
    <t>차이 (0에 가까워야 함)</t>
  </si>
  <si>
    <t>평균 품질</t>
  </si>
  <si>
    <t>P(≤30)</t>
  </si>
  <si>
    <t>P(≥50)</t>
  </si>
  <si>
    <t>P(≥70)</t>
  </si>
  <si>
    <t>P(≥90)</t>
  </si>
  <si>
    <t>정성스레 (제작)</t>
  </si>
  <si>
    <t>기준</t>
  </si>
  <si>
    <t>그냥</t>
  </si>
  <si>
    <t>다시 굴린 뒤</t>
  </si>
  <si>
    <t>정성스레 1 (이하면 한 번 다시)</t>
  </si>
  <si>
    <t>정성스레 2 (이하면 한 번 다시)</t>
  </si>
  <si>
    <t>10칸 묶음</t>
  </si>
  <si>
    <t>부터</t>
  </si>
  <si>
    <t>까지</t>
  </si>
  <si>
    <t>1–10</t>
  </si>
  <si>
    <t>11–20</t>
  </si>
  <si>
    <t>21–30</t>
  </si>
  <si>
    <t>31–40</t>
  </si>
  <si>
    <t>41–50</t>
  </si>
  <si>
    <t>51–60</t>
  </si>
  <si>
    <t>61–70</t>
  </si>
  <si>
    <t>71–80</t>
  </si>
  <si>
    <t>81–90</t>
  </si>
  <si>
    <t>91–100</t>
  </si>
  <si>
    <t>계획 §7 · §8. 같은 줄은 번호 순서대로만. 비용은 자재 · 고급 자재 · 돈. 목표일 = 기준 플레이어가 그 단계를 만드는 날 (14일째에 다 만듦)</t>
  </si>
  <si>
    <t>돈 계산</t>
  </si>
  <si>
    <t>고급 자재 가중치 (돈 = (자재 + 고급 자재 × 이 값) × 배수)</t>
  </si>
  <si>
    <t>목표일부터</t>
  </si>
  <si>
    <t>배수</t>
  </si>
  <si>
    <t>1일 단계 돈 없음 (첫날은 아직 요리를 못 함) · 2~3일 반값 (요리 재료가 덜 모임)</t>
  </si>
  <si>
    <t>줄</t>
  </si>
  <si>
    <t>단계</t>
  </si>
  <si>
    <t>효과</t>
  </si>
  <si>
    <t>목표일</t>
  </si>
  <si>
    <t>돈</t>
  </si>
  <si>
    <t>단계 수</t>
  </si>
  <si>
    <t>자재 합</t>
  </si>
  <si>
    <t>고급 자재 합</t>
  </si>
  <si>
    <t>돈 합</t>
  </si>
  <si>
    <t>밭</t>
  </si>
  <si>
    <t>밭 +1칸 (2 → 3칸)</t>
  </si>
  <si>
    <t>밭 +1칸 (3 → 4칸)</t>
  </si>
  <si>
    <t>씨앗 합성기</t>
  </si>
  <si>
    <t>밭 +1칸 (4 → 5칸)</t>
  </si>
  <si>
    <t>효율 증대</t>
  </si>
  <si>
    <t>밭 +1칸 (5 → 6칸)</t>
  </si>
  <si>
    <t>정성스레</t>
  </si>
  <si>
    <t>밭 +1칸 (6 → 7칸)</t>
  </si>
  <si>
    <t>시설 강화</t>
  </si>
  <si>
    <t>밭 +1칸 (7 → 8칸)</t>
  </si>
  <si>
    <t>재사용</t>
  </si>
  <si>
    <t>–</t>
  </si>
  <si>
    <t>아래 등급 씨앗 10개 → 윗등급 1개 (항상 성공)</t>
  </si>
  <si>
    <t>풍작</t>
  </si>
  <si>
    <t>합성 배율 9:1</t>
  </si>
  <si>
    <t>탐험 강화</t>
  </si>
  <si>
    <t>합성 배율 8:1</t>
  </si>
  <si>
    <t>장신구 착용</t>
  </si>
  <si>
    <t>합성 배율 7:1</t>
  </si>
  <si>
    <t>품질 8 이하면 한 번 다시 굴림</t>
  </si>
  <si>
    <t>품질 16 이하면 한 번 다시 굴림</t>
  </si>
  <si>
    <t>고급 씨앗 심기 가능</t>
  </si>
  <si>
    <t>희귀 씨앗 심기 가능</t>
  </si>
  <si>
    <t>전설 씨앗 심기 가능</t>
  </si>
  <si>
    <t>일반 · 고급 작물 수확 때 씨앗 1개 반환 10%</t>
  </si>
  <si>
    <t>반환 확률 20%</t>
  </si>
  <si>
    <t>반환 확률 30%</t>
  </si>
  <si>
    <t>희귀 작물 수확 때 씨앗 1개 반환 10%</t>
  </si>
  <si>
    <t>일반 작물 수확 때 50% 확률로 +1</t>
  </si>
  <si>
    <t>고급 작물 수확 때 50% 확률로 +1</t>
  </si>
  <si>
    <t>풍작 1의 확률 → 100%</t>
  </si>
  <si>
    <t>희귀 작물 수확 때 25% 확률로 +1</t>
  </si>
  <si>
    <t>풍작 2의 확률 → 100%</t>
  </si>
  <si>
    <t>일반 · 고급 작물 수확 때 50% 확률로 +1</t>
  </si>
  <si>
    <t>풍작 4의 확률 → 50%</t>
  </si>
  <si>
    <t>일반 작물 수확량 ×2, 확률 10%</t>
  </si>
  <si>
    <t>풍작 6의 확률 → 100%</t>
  </si>
  <si>
    <t>풍작 8의 확률 → 20%</t>
  </si>
  <si>
    <t>풍작 4의 확률 → 75%</t>
  </si>
  <si>
    <t>고급 작물 수확량 ×1.5, 확률 10%</t>
  </si>
  <si>
    <t>일반 · 고급 작물 수확 때 50% 확률로 +1 (풍작 6과 따로)</t>
  </si>
  <si>
    <t>풍작 4의 확률 → 100%</t>
  </si>
  <si>
    <t>풍작 12의 확률 → 20%</t>
  </si>
  <si>
    <t>일반 · 고급 · 희귀 작물 수확 때 50% 확률로 +1</t>
  </si>
  <si>
    <t>탐험 1시간마다 굴림 +1 (3 → 4번)</t>
  </si>
  <si>
    <t>탐험 1시간마다 굴림 +1 (4 → 5번)</t>
  </si>
  <si>
    <t>착용 장신구 +1개 (1 → 2개)</t>
  </si>
  <si>
    <t>착용 장신구 +1개 (2 → 3개)</t>
  </si>
  <si>
    <t>날짜별 검산: 목표일 순서대로 사면 누적 비용 ≤ 누적 수입인지 (탐험은 48시간 안에 한 번씩 받는 기준, 돈은 Claude 어림)</t>
  </si>
  <si>
    <t>날</t>
  </si>
  <si>
    <t>하루 굴림</t>
  </si>
  <si>
    <t>자재 수입</t>
  </si>
  <si>
    <t>고급 자재 수입 (상자 포함)</t>
  </si>
  <si>
    <t>누적 자재 수입</t>
  </si>
  <si>
    <t>누적 자재 비용</t>
  </si>
  <si>
    <t>누적 고급 자재 수입</t>
  </si>
  <si>
    <t>누적 고급 자재 비용</t>
  </si>
  <si>
    <t>하루 돈 수입 (어림)</t>
  </si>
  <si>
    <t>실제로 들어오는 비율</t>
  </si>
  <si>
    <t>누적 돈 수입 (들어온 것)</t>
  </si>
  <si>
    <t>누적 돈 비용</t>
  </si>
  <si>
    <t>돈 비용 ÷ 수입</t>
  </si>
  <si>
    <t>15~31일에 쓸 곳 없이 남는 양</t>
  </si>
  <si>
    <t>돈 (들어온 것)</t>
  </si>
  <si>
    <t>하루 돈 수입 = Claude 어림 (docs/farm-shop.md 3번): 하루 2번 심고, 수확한 작물은 다 요리해서 팖. 별 배율은 무작위 묶음과 좋은 작물끼리 묶음의 가운데</t>
  </si>
  <si>
    <t>실제로 들어오는 비율 = 첫 며칠은 레시피 재료가 다 안 모여서 덜 들어온다고 본 값 (누적 수입에 곱함)</t>
  </si>
  <si>
    <t>요리를 아무렇게나 하면 돈 수입 약 ×0.7, 좋은 작물끼리 묶으면 ×1.3, 하루 3번 심으면 ×1.5</t>
  </si>
  <si>
    <t>요리 · 별 · 판매</t>
  </si>
  <si>
    <t>계획 §14. 요리 = 레시피 고르기 → 재료 작물 고르기 → 요리. 별은 룰렛을 실패할 때까지 돌린 성공 횟수 (최대 3성)</t>
  </si>
  <si>
    <t>요리 등급</t>
  </si>
  <si>
    <t>기본 가격 (돈)</t>
  </si>
  <si>
    <t>별 감점</t>
  </si>
  <si>
    <t>도감 개수</t>
  </si>
  <si>
    <t>요리 수</t>
  </si>
  <si>
    <t>원래 값 랜덤 폭 (±)</t>
  </si>
  <si>
    <t>원래 값 = 기본 가격 × (1 ± 폭) 안에서 요리마다 한 번 정해 고정 (시드 farm:price:{요리 id}, 정수로 반올림)</t>
  </si>
  <si>
    <t>별</t>
  </si>
  <si>
    <t>판매 배율</t>
  </si>
  <si>
    <t>0성</t>
  </si>
  <si>
    <t>1성</t>
  </si>
  <si>
    <t>2성</t>
  </si>
  <si>
    <t>3성</t>
  </si>
  <si>
    <t>룰렛</t>
  </si>
  <si>
    <t>한 번 성공할 때마다 빼는 값</t>
  </si>
  <si>
    <t>성공 확률 하한</t>
  </si>
  <si>
    <t>성공 확률 상한</t>
  </si>
  <si>
    <t>k번째 룰렛 성공 확률 = 평균 품질 − 등급 감점 − 25 × (k − 1)  (하한 ~ 상한으로 자름). 평균 품질 = 재료 작물 품질 합 ÷ 재료 개수</t>
  </si>
  <si>
    <t>재료 평균 품질</t>
  </si>
  <si>
    <t>1번째 성공</t>
  </si>
  <si>
    <t>2번째 성공</t>
  </si>
  <si>
    <t>3번째 성공</t>
  </si>
  <si>
    <t>기대 배율</t>
  </si>
  <si>
    <t>기대 판매 값 (기본 가격)</t>
  </si>
  <si>
    <t>같은 작물 n개 중 가장 좋은 3개의 평균 품질: 3개 36 · 10개 62 · 30개 78 · 100개 89 (계획 §14)</t>
  </si>
  <si>
    <t>도감: 도감 6개 요리를 제출하면 등록 (가방에서 빠짐). 같은 요리를 별이 더 높게 내면 갱신. 요리는 먹지 않음 (판매와 도감 제출만)</t>
  </si>
  <si>
    <t>요리 목록 (100개)</t>
  </si>
  <si>
    <t>계획 §13. 재료는 작물만, 최대 3종류, 같은 재료는 3개까지. 등급 = 재료 중 가장 높은 작물 등급. 재료 이름은 작물 시트 이름과 같아야 해요 (확인 칸)</t>
  </si>
  <si>
    <t>요리</t>
  </si>
  <si>
    <t>재료 1</t>
  </si>
  <si>
    <t>개수</t>
  </si>
  <si>
    <t>재료 2</t>
  </si>
  <si>
    <t>재료 3</t>
  </si>
  <si>
    <t>재료 수</t>
  </si>
  <si>
    <t>원래 값 최소</t>
  </si>
  <si>
    <t>원래 값 최대</t>
  </si>
  <si>
    <t>3성 최대 값</t>
  </si>
  <si>
    <t>재료로 본 등급</t>
  </si>
  <si>
    <t>확인</t>
  </si>
  <si>
    <t>찐 감자</t>
  </si>
  <si>
    <t>군고구마</t>
  </si>
  <si>
    <t>쌀밥</t>
  </si>
  <si>
    <t>군옥수수</t>
  </si>
  <si>
    <t>식빵</t>
  </si>
  <si>
    <t>당근 주스</t>
  </si>
  <si>
    <t>감자전</t>
  </si>
  <si>
    <t>감자 수프</t>
  </si>
  <si>
    <t>감자 샐러드</t>
  </si>
  <si>
    <t>고구마빵</t>
  </si>
  <si>
    <t>잡채</t>
  </si>
  <si>
    <t>배추김치</t>
  </si>
  <si>
    <t>깍두기</t>
  </si>
  <si>
    <t>오이소박이</t>
  </si>
  <si>
    <t>오이 냉국</t>
  </si>
  <si>
    <t>뭇국</t>
  </si>
  <si>
    <t>시금치나물</t>
  </si>
  <si>
    <t>상추 겉절이</t>
  </si>
  <si>
    <t>상추쌈밥</t>
  </si>
  <si>
    <t>양배추 샐러드</t>
  </si>
  <si>
    <t>양배추 롤</t>
  </si>
  <si>
    <t>가지볶음</t>
  </si>
  <si>
    <t>라따뚜이</t>
  </si>
  <si>
    <t>애호박전</t>
  </si>
  <si>
    <t>된장찌개</t>
  </si>
  <si>
    <t>두부 부침</t>
  </si>
  <si>
    <t>콩국수</t>
  </si>
  <si>
    <t>칼국수</t>
  </si>
  <si>
    <t>파전</t>
  </si>
  <si>
    <t>김치전</t>
  </si>
  <si>
    <t>토마토 스튜</t>
  </si>
  <si>
    <t>토마토 파스타</t>
  </si>
  <si>
    <t>마늘빵</t>
  </si>
  <si>
    <t>옥수수 수프</t>
  </si>
  <si>
    <t>비빔밥</t>
  </si>
  <si>
    <t>볶음밥</t>
  </si>
  <si>
    <t>인절미</t>
  </si>
  <si>
    <t>떡볶이</t>
  </si>
  <si>
    <t>배춧국</t>
  </si>
  <si>
    <t>당근 케이크</t>
  </si>
  <si>
    <t>딸기잼</t>
  </si>
  <si>
    <t>딸기 케이크</t>
  </si>
  <si>
    <t>수박 주스</t>
  </si>
  <si>
    <t>수박 화채</t>
  </si>
  <si>
    <t>멜론 빙수</t>
  </si>
  <si>
    <t>참외 샐러드</t>
  </si>
  <si>
    <t>포도 주스</t>
  </si>
  <si>
    <t>건포도빵</t>
  </si>
  <si>
    <t>블루베리 머핀</t>
  </si>
  <si>
    <t>체리 파이</t>
  </si>
  <si>
    <t>복숭아 통조림</t>
  </si>
  <si>
    <t>복숭아 타르트</t>
  </si>
  <si>
    <t>과일 샐러드</t>
  </si>
  <si>
    <t>파인애플 볶음밥</t>
  </si>
  <si>
    <t>망고 찹쌀밥</t>
  </si>
  <si>
    <t>망고 스무디</t>
  </si>
  <si>
    <t>과카몰리</t>
  </si>
  <si>
    <t>아보카도 토스트</t>
  </si>
  <si>
    <t>아스파라거스 구이</t>
  </si>
  <si>
    <t>브로콜리 수프</t>
  </si>
  <si>
    <t>브로콜리 깨무침</t>
  </si>
  <si>
    <t>파프리카 볶음</t>
  </si>
  <si>
    <t>월남쌈</t>
  </si>
  <si>
    <t>단호박죽</t>
  </si>
  <si>
    <t>버섯 전골</t>
  </si>
  <si>
    <t>표고버섯전</t>
  </si>
  <si>
    <t>생강차</t>
  </si>
  <si>
    <t>깨강정</t>
  </si>
  <si>
    <t>고구마 맛탕</t>
  </si>
  <si>
    <t>땅콩 쿠키</t>
  </si>
  <si>
    <t>인삼차</t>
  </si>
  <si>
    <t>인삼 정과</t>
  </si>
  <si>
    <t>송이 구이</t>
  </si>
  <si>
    <t>송이 솥밥</t>
  </si>
  <si>
    <t>트러플 파스타</t>
  </si>
  <si>
    <t>트러플 리조또</t>
  </si>
  <si>
    <t>사프란 빠에야</t>
  </si>
  <si>
    <t>사프란 빵</t>
  </si>
  <si>
    <t>바닐라 아이스크림</t>
  </si>
  <si>
    <t>바닐라 쿠키</t>
  </si>
  <si>
    <t>초콜릿</t>
  </si>
  <si>
    <t>딸기 초콜릿</t>
  </si>
  <si>
    <t>커피</t>
  </si>
  <si>
    <t>모카</t>
  </si>
  <si>
    <t>와사비 소바</t>
  </si>
  <si>
    <t>와사비 유부초밥</t>
  </si>
  <si>
    <t>샤인머스캣 탕후루</t>
  </si>
  <si>
    <t>샤인머스캣 타르트</t>
  </si>
  <si>
    <t>용과 스무디</t>
  </si>
  <si>
    <t>용과 볼</t>
  </si>
  <si>
    <t>황금 사과잼</t>
  </si>
  <si>
    <t>황금 사과 파이</t>
  </si>
  <si>
    <t>달빛 복숭아 넥타</t>
  </si>
  <si>
    <t>달빛 복숭아 빙수</t>
  </si>
  <si>
    <t>별빛 버섯 전골</t>
  </si>
  <si>
    <t>별빛 버섯 리조또</t>
  </si>
  <si>
    <t>무지개 팝콘</t>
  </si>
  <si>
    <t>무지개 옥수수 수프</t>
  </si>
  <si>
    <t>불꽃 떡볶이</t>
  </si>
  <si>
    <t>불꽃 카레</t>
  </si>
  <si>
    <t>확인이 모두 OK인지</t>
  </si>
  <si>
    <t>벼 = 쌀 · 떡, 밀 = 면 · 빵 · 반죽, 콩 = 두부 · 된장 · 간장으로 쳤어요. 재료 종류 조합이 같은 요리는 없어요</t>
  </si>
  <si>
    <t>화폐 · 분해 · 상점</t>
  </si>
  <si>
    <t>계획 §12 · §15. 남는 것을 분해 · 판매해 화폐로 바꿈. 상점은 AP · SP · NP 3개 (돈 상점은 없앰), 한도는 매일 06:00 리셋. 시즌이 바뀌면 전부 초기화</t>
  </si>
  <si>
    <t>화폐</t>
  </si>
  <si>
    <t>얻는 곳</t>
  </si>
  <si>
    <t>쓰는 곳</t>
  </si>
  <si>
    <t>출석 · 데일리 결과 · 보물 상자</t>
  </si>
  <si>
    <t>NP 상점</t>
  </si>
  <si>
    <t>SP</t>
  </si>
  <si>
    <t>씨앗 분해</t>
  </si>
  <si>
    <t>SP 상점</t>
  </si>
  <si>
    <t>AP</t>
  </si>
  <si>
    <t>장신구 분해</t>
  </si>
  <si>
    <t>AP 상점</t>
  </si>
  <si>
    <t>음식 판매 (요리 목록 · 요리·별)</t>
  </si>
  <si>
    <t>제작 (제작 시트)</t>
  </si>
  <si>
    <t>SP (1개)</t>
  </si>
  <si>
    <t>하루 개수 (강화 0)</t>
  </si>
  <si>
    <t>하루 SP (강화 0)</t>
  </si>
  <si>
    <t>하루 개수 (강화 2)</t>
  </si>
  <si>
    <t>하루 SP (강화 2)</t>
  </si>
  <si>
    <t>합계 (모두 분해하면, 탐험만)</t>
  </si>
  <si>
    <t>심는 씨앗 · 합성에 쓰는 씨앗만큼 줄어요. 밭은 최대 8칸 × 8시간이라 하루에 심을 수 있는 씨앗은 최대 24개</t>
  </si>
  <si>
    <t>줄 하나의 AP</t>
  </si>
  <si>
    <t>등급 확률</t>
  </si>
  <si>
    <t>일반 효과</t>
  </si>
  <si>
    <t>고급 효과</t>
  </si>
  <si>
    <t>희귀 효과</t>
  </si>
  <si>
    <t>전설 효과</t>
  </si>
  <si>
    <t>기본 AP (효과 0줄)</t>
  </si>
  <si>
    <t>효과 줄 하나 평균 AP</t>
  </si>
  <si>
    <t>탐험 장신구 1개 평균 AP</t>
  </si>
  <si>
    <t>고대 유물 장신구 1개 평균 AP</t>
  </si>
  <si>
    <t>하루 AP (모두 분해, 강화 0)</t>
  </si>
  <si>
    <t>하루 AP (모두 분해, 강화 2)</t>
  </si>
  <si>
    <t>AP = 기본 1 + 효과 줄마다 등급 값. 착용 중 · 잠근 장신구는 분해 불가</t>
  </si>
  <si>
    <t>값 (NP)</t>
  </si>
  <si>
    <t>한도 (하루)</t>
  </si>
  <si>
    <t>다 사면 (NP)</t>
  </si>
  <si>
    <t>탐험 부스트</t>
  </si>
  <si>
    <t>8시간 동안 탐험 보상 ×2 (켜져 있으면 8시간 이어 붙음, ×4 아님)</t>
  </si>
  <si>
    <t>농사 즉시 완료권</t>
  </si>
  <si>
    <t>완료권 1장 (자라는 밭 한 칸을 바로 다 큼)</t>
  </si>
  <si>
    <t>NP 상점 하루 최대</t>
  </si>
  <si>
    <t>하루 NP 수입 (출석 · 데일리 최대 + 상자, 강화 0)</t>
  </si>
  <si>
    <t>하루 NP 남는 양 (위 − 상점 최대)</t>
  </si>
  <si>
    <t>AP · SP 상점: 같은 상품 리스트에서 매일 랜덤 (시드 farm:{날짜}:shop, 같은 날 AP · SP에 같은 상품 없음)</t>
  </si>
  <si>
    <t>하루에 나오는 상품 수 (상점마다)</t>
  </si>
  <si>
    <t>SP 값 = AP 값 × 이 값</t>
  </si>
  <si>
    <t>상품</t>
  </si>
  <si>
    <t>다 사면 (AP)</t>
  </si>
  <si>
    <t>분해하면 (참고)</t>
  </si>
  <si>
    <t>자재 꾸러미</t>
  </si>
  <si>
    <t>자재 ×20</t>
  </si>
  <si>
    <t>고급 자재 꾸러미</t>
  </si>
  <si>
    <t>고급 자재 ×5</t>
  </si>
  <si>
    <t>완료권 묶음</t>
  </si>
  <si>
    <t>농사 즉시 완료권 ×2</t>
  </si>
  <si>
    <t>고급 씨앗 꾸러미</t>
  </si>
  <si>
    <t>고급 씨앗 ×10</t>
  </si>
  <si>
    <t>희귀 씨앗 꾸러미</t>
  </si>
  <si>
    <t>희귀 씨앗 ×5</t>
  </si>
  <si>
    <t>장신구 상자</t>
  </si>
  <si>
    <t>효과 1~2줄 장신구 1개 (1줄 80% · 2줄 20%, 등급은 보통 굴림)</t>
  </si>
  <si>
    <t>고급 장신구 상자</t>
  </si>
  <si>
    <t>효과 2줄 확정 장신구 1개 (등급은 보통 굴림)</t>
  </si>
  <si>
    <t>그날 나온 상품을 다 사면 (평균)</t>
  </si>
  <si>
    <t>같은 양을 SP로</t>
  </si>
  <si>
    <t>장신구 상자 2개는 지금 기획에 없는 새 아이템. 한 장신구에 같은 옵션 두 줄 없음 · 산 장신구도 가방 100개 한도에 들어감</t>
  </si>
  <si>
    <t>계획 §11. 탐험에서 얻을 때 효과 0~2줄을 굴림. 줄마다 옵션 9개 중 하나 (한 장신구 안에서 서로 다른 옵션) · 등급 굴림 · 수치는 등급 범위에서 균등</t>
  </si>
  <si>
    <t>효과 줄 수</t>
  </si>
  <si>
    <t>평균 줄 수</t>
  </si>
  <si>
    <t>효과 등급</t>
  </si>
  <si>
    <t>착용 · 가방</t>
  </si>
  <si>
    <t>기본 착용 개수</t>
  </si>
  <si>
    <t>최대 착용 (기본 + 제작 장신구 착용)</t>
  </si>
  <si>
    <t>가방 한도 (착용 중 포함)</t>
  </si>
  <si>
    <t>같은 옵션을 여러 개 착용하면 수치를 더함 · 언제든 바꿔 낌 · 잠금 가능 (잠근 · 착용 중은 분해 불가) · 100개 넘게 얻으면 그 자리에서 넘친 만큼 골라 AP로</t>
  </si>
  <si>
    <t>고대 유물: 열면 2줄 장신구 확정. 1줄째 = 옵션 균등 · 전설 고정값, 2줄째 = 1줄째와 다른 옵션 · 등급은 위 확률대로</t>
  </si>
  <si>
    <t>옵션</t>
  </si>
  <si>
    <t>일반 최소</t>
  </si>
  <si>
    <t>일반 최대</t>
  </si>
  <si>
    <t>고급 최소</t>
  </si>
  <si>
    <t>고급 최대</t>
  </si>
  <si>
    <t>희귀 최소</t>
  </si>
  <si>
    <t>희귀 최대</t>
  </si>
  <si>
    <t>최대 착용 때 (전설 × 최대 착용)</t>
  </si>
  <si>
    <t>줄마다 뽑힐 확률</t>
  </si>
  <si>
    <t>씨앗 주머니</t>
  </si>
  <si>
    <t>탐험에서 나오는 씨앗 개수 +x%</t>
  </si>
  <si>
    <t>자재 주머니</t>
  </si>
  <si>
    <t>탐험에서 나오는 자재 · 고급 자재 개수 +x%</t>
  </si>
  <si>
    <t>보물 감각</t>
  </si>
  <si>
    <t>탐험 히든 확률 +x%p (기본 1%)</t>
  </si>
  <si>
    <t>좋은 씨앗</t>
  </si>
  <si>
    <t>탐험에서 씨앗이 나올 때 x% 확률로 한 등급 위 (전설은 그대로)</t>
  </si>
  <si>
    <t>농사</t>
  </si>
  <si>
    <t>풍년</t>
  </si>
  <si>
    <t>수확할 때 x% 확률로 +1개 (모든 등급)</t>
  </si>
  <si>
    <t>씨앗 되받기</t>
  </si>
  <si>
    <t>수확할 때 x% 확률로 심었던 씨앗 1개 반환 (모든 등급)</t>
  </si>
  <si>
    <t>돌연변이</t>
  </si>
  <si>
    <t>심을 때 x% 확률로 작물 등급 한 단계 위 (전설은 그대로)</t>
  </si>
  <si>
    <t>합성 대성공</t>
  </si>
  <si>
    <t>씨앗 합성 때 x% 확률로 2개</t>
  </si>
  <si>
    <t>기타</t>
  </si>
  <si>
    <t>서두르기</t>
  </si>
  <si>
    <t>수확할 때 x% 확률로 농사 즉시 완료권 1장</t>
  </si>
  <si>
    <t>수치 단계: 일반은 전설의 1/3까지 · 고급 2/3까지 · 희귀 5/6까지 · 전설 고정. 수치 단위: % 1 · %p 0.1 · 좋은 씨앗 · 돌연변이 0.5</t>
  </si>
  <si>
    <t>씨앗 · 자재 개수 +x%의 소수는 확률 반올림 (예: 3 × 1.17 = 3.51 → 51%로 4, 49%로 3). 풍년은 수확 개수의 더하기 단계에 넣음</t>
  </si>
  <si>
    <t>한 시즌 (31일)</t>
  </si>
  <si>
    <t>탐험 강화 없음</t>
  </si>
  <si>
    <t>강화를 목표일에 만들면</t>
  </si>
  <si>
    <t>탐험 굴림 수</t>
  </si>
  <si>
    <t>효과 줄 (장신구 × 평균 줄 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</si>
</sst>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#,##0.0"/>
    <numFmt numFmtId="178" formatCode="0.0000"/>
    <numFmt numFmtId="179" formatCode="0.000%"/>
    <numFmt numFmtId="180" formatCode="0.0000%"/>
    <numFmt numFmtId="181" formatCode="&quot;×&quot;0.0"/>
    <numFmt numFmtId="182" formatCode="0&quot;줄&quot;"/>
  </numFmts>
  <fonts count="10">
    <font>
      <sz val="11"/>
      <color theme="1"/>
      <name val="맑은 고딕"/>
      <family val="2"/>
      <scheme val="minor"/>
    </font>
    <font>
      <b/>
      <sz val="14"/>
      <name val="맑은 고딕"/>
    </font>
    <font>
      <i/>
      <sz val="9"/>
      <color rgb="FF808080"/>
      <name val="맑은 고딕"/>
    </font>
    <font>
      <b/>
      <sz val="10"/>
      <name val="맑은 고딕"/>
    </font>
    <font>
      <sz val="10"/>
      <color rgb="FF000000"/>
      <name val="맑은 고딕"/>
    </font>
    <font>
      <sz val="10"/>
      <color rgb="FF0000FF"/>
      <name val="맑은 고딕"/>
    </font>
    <font>
      <sz val="10"/>
      <color rgb="FF008000"/>
      <name val="맑은 고딕"/>
    </font>
    <font>
      <b/>
      <sz val="11"/>
      <name val="맑은 고딕"/>
    </font>
    <font>
      <sz val="10"/>
      <name val="맑은 고딕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5" fillId="3" borderId="1" xfId="0" applyFont="1" applyFill="1" applyBorder="1"/>
    <xf numFmtId="0" fontId="8" fillId="0" borderId="0" xfId="0" applyFont="1"/>
    <xf numFmtId="0" fontId="4" fillId="0" borderId="1" xfId="0" applyFont="1" applyBorder="1"/>
    <xf numFmtId="0" fontId="6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3" fontId="5" fillId="3" borderId="1" xfId="0" applyNumberFormat="1" applyFont="1" applyFill="1" applyBorder="1"/>
    <xf numFmtId="3" fontId="4" fillId="0" borderId="1" xfId="0" applyNumberFormat="1" applyFont="1" applyBorder="1"/>
    <xf numFmtId="177" fontId="6" fillId="0" borderId="1" xfId="0" applyNumberFormat="1" applyFont="1" applyBorder="1"/>
    <xf numFmtId="3" fontId="6" fillId="0" borderId="1" xfId="0" applyNumberFormat="1" applyFont="1" applyBorder="1"/>
    <xf numFmtId="176" fontId="5" fillId="3" borderId="1" xfId="0" applyNumberFormat="1" applyFont="1" applyFill="1" applyBorder="1"/>
    <xf numFmtId="176" fontId="4" fillId="0" borderId="1" xfId="0" applyNumberFormat="1" applyFont="1" applyBorder="1"/>
    <xf numFmtId="177" fontId="4" fillId="0" borderId="1" xfId="0" applyNumberFormat="1" applyFont="1" applyBorder="1"/>
    <xf numFmtId="10" fontId="4" fillId="0" borderId="1" xfId="0" applyNumberFormat="1" applyFont="1" applyBorder="1"/>
    <xf numFmtId="178" fontId="4" fillId="0" borderId="1" xfId="0" applyNumberFormat="1" applyFont="1" applyBorder="1"/>
    <xf numFmtId="4" fontId="4" fillId="0" borderId="1" xfId="0" applyNumberFormat="1" applyFont="1" applyBorder="1"/>
    <xf numFmtId="179" fontId="4" fillId="0" borderId="1" xfId="0" applyNumberFormat="1" applyFont="1" applyBorder="1"/>
    <xf numFmtId="2" fontId="5" fillId="3" borderId="1" xfId="0" applyNumberFormat="1" applyFont="1" applyFill="1" applyBorder="1"/>
    <xf numFmtId="179" fontId="5" fillId="3" borderId="1" xfId="0" applyNumberFormat="1" applyFont="1" applyFill="1" applyBorder="1"/>
    <xf numFmtId="180" fontId="4" fillId="0" borderId="1" xfId="0" applyNumberFormat="1" applyFont="1" applyBorder="1"/>
    <xf numFmtId="9" fontId="5" fillId="3" borderId="1" xfId="0" applyNumberFormat="1" applyFont="1" applyFill="1" applyBorder="1"/>
    <xf numFmtId="9" fontId="4" fillId="0" borderId="1" xfId="0" applyNumberFormat="1" applyFont="1" applyBorder="1"/>
    <xf numFmtId="181" fontId="4" fillId="0" borderId="1" xfId="0" applyNumberFormat="1" applyFont="1" applyBorder="1"/>
    <xf numFmtId="176" fontId="6" fillId="0" borderId="1" xfId="0" applyNumberFormat="1" applyFont="1" applyBorder="1"/>
    <xf numFmtId="182" fontId="4" fillId="0" borderId="1" xfId="0" applyNumberFormat="1" applyFont="1" applyBorder="1"/>
    <xf numFmtId="2" fontId="4" fillId="0" borderId="1" xfId="0" applyNumberFormat="1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품질별 확률 p(k)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품질표!$J$4</c:f>
              <c:strCache>
                <c:ptCount val="1"/>
                <c:pt idx="0">
                  <c:v>p(k)</c:v>
                </c:pt>
              </c:strCache>
            </c:strRef>
          </c:tx>
          <c:spPr>
            <a:ln w="22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품질표!$H$5:$H$104</c:f>
              <c:numCache>
                <c:formatCode>#,##0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품질표!$J$5:$J$104</c:f>
              <c:numCache>
                <c:formatCode>0.000%</c:formatCode>
                <c:ptCount val="100"/>
                <c:pt idx="0">
                  <c:v>1.5046964447905679E-2</c:v>
                </c:pt>
                <c:pt idx="1">
                  <c:v>1.5046964447905679E-2</c:v>
                </c:pt>
                <c:pt idx="2">
                  <c:v>1.5046964447905679E-2</c:v>
                </c:pt>
                <c:pt idx="3">
                  <c:v>1.5046964447905679E-2</c:v>
                </c:pt>
                <c:pt idx="4">
                  <c:v>1.5046964447905679E-2</c:v>
                </c:pt>
                <c:pt idx="5">
                  <c:v>1.5046964447905679E-2</c:v>
                </c:pt>
                <c:pt idx="6">
                  <c:v>1.5046964447905679E-2</c:v>
                </c:pt>
                <c:pt idx="7">
                  <c:v>1.5046964447905679E-2</c:v>
                </c:pt>
                <c:pt idx="8">
                  <c:v>1.5046964447905679E-2</c:v>
                </c:pt>
                <c:pt idx="9">
                  <c:v>1.5046964447905679E-2</c:v>
                </c:pt>
                <c:pt idx="10">
                  <c:v>1.5046964447905679E-2</c:v>
                </c:pt>
                <c:pt idx="11">
                  <c:v>1.5046964447905679E-2</c:v>
                </c:pt>
                <c:pt idx="12">
                  <c:v>1.5046964447905679E-2</c:v>
                </c:pt>
                <c:pt idx="13">
                  <c:v>1.5046964447905679E-2</c:v>
                </c:pt>
                <c:pt idx="14">
                  <c:v>1.5046964447905679E-2</c:v>
                </c:pt>
                <c:pt idx="15">
                  <c:v>1.5046964447905679E-2</c:v>
                </c:pt>
                <c:pt idx="16">
                  <c:v>1.5046964447905679E-2</c:v>
                </c:pt>
                <c:pt idx="17">
                  <c:v>1.5046964447905679E-2</c:v>
                </c:pt>
                <c:pt idx="18">
                  <c:v>1.5046964447905679E-2</c:v>
                </c:pt>
                <c:pt idx="19">
                  <c:v>1.5046964447905679E-2</c:v>
                </c:pt>
                <c:pt idx="20">
                  <c:v>1.5046964447905679E-2</c:v>
                </c:pt>
                <c:pt idx="21">
                  <c:v>1.5046964447905679E-2</c:v>
                </c:pt>
                <c:pt idx="22">
                  <c:v>1.5046964447905679E-2</c:v>
                </c:pt>
                <c:pt idx="23">
                  <c:v>1.5046964447905679E-2</c:v>
                </c:pt>
                <c:pt idx="24">
                  <c:v>1.5046964447905679E-2</c:v>
                </c:pt>
                <c:pt idx="25">
                  <c:v>1.5046964447905679E-2</c:v>
                </c:pt>
                <c:pt idx="26">
                  <c:v>1.5046964447905679E-2</c:v>
                </c:pt>
                <c:pt idx="27">
                  <c:v>1.5046964447905679E-2</c:v>
                </c:pt>
                <c:pt idx="28">
                  <c:v>1.5046964447905679E-2</c:v>
                </c:pt>
                <c:pt idx="29">
                  <c:v>1.5046964447905679E-2</c:v>
                </c:pt>
                <c:pt idx="30">
                  <c:v>1.5038640664018509E-2</c:v>
                </c:pt>
                <c:pt idx="31">
                  <c:v>1.5013696929819693E-2</c:v>
                </c:pt>
                <c:pt idx="32">
                  <c:v>1.4972215945033772E-2</c:v>
                </c:pt>
                <c:pt idx="33">
                  <c:v>1.4914335034837471E-2</c:v>
                </c:pt>
                <c:pt idx="34">
                  <c:v>1.484024539243526E-2</c:v>
                </c:pt>
                <c:pt idx="35">
                  <c:v>1.4750191026866605E-2</c:v>
                </c:pt>
                <c:pt idx="36">
                  <c:v>1.4644467424148627E-2</c:v>
                </c:pt>
                <c:pt idx="37">
                  <c:v>1.4523419932034832E-2</c:v>
                </c:pt>
                <c:pt idx="38">
                  <c:v>1.4387441880746126E-2</c:v>
                </c:pt>
                <c:pt idx="39">
                  <c:v>1.4236972453984403E-2</c:v>
                </c:pt>
                <c:pt idx="40">
                  <c:v>1.407249432635291E-2</c:v>
                </c:pt>
                <c:pt idx="41">
                  <c:v>1.3894531084964811E-2</c:v>
                </c:pt>
                <c:pt idx="42">
                  <c:v>1.3703644454506394E-2</c:v>
                </c:pt>
                <c:pt idx="43">
                  <c:v>1.3500431346321633E-2</c:v>
                </c:pt>
                <c:pt idx="44">
                  <c:v>1.3285520753189244E-2</c:v>
                </c:pt>
                <c:pt idx="45">
                  <c:v>1.3059570512363484E-2</c:v>
                </c:pt>
                <c:pt idx="46">
                  <c:v>1.2823263960139622E-2</c:v>
                </c:pt>
                <c:pt idx="47">
                  <c:v>1.2577306501680277E-2</c:v>
                </c:pt>
                <c:pt idx="48">
                  <c:v>1.2322422120098474E-2</c:v>
                </c:pt>
                <c:pt idx="49">
                  <c:v>1.2059349848838141E-2</c:v>
                </c:pt>
                <c:pt idx="50">
                  <c:v>1.1788840231226304E-2</c:v>
                </c:pt>
                <c:pt idx="51">
                  <c:v>1.1511651790698865E-2</c:v>
                </c:pt>
                <c:pt idx="52">
                  <c:v>1.1228547534631522E-2</c:v>
                </c:pt>
                <c:pt idx="53">
                  <c:v>1.0940291513948515E-2</c:v>
                </c:pt>
                <c:pt idx="54">
                  <c:v>1.064764545974642E-2</c:v>
                </c:pt>
                <c:pt idx="55">
                  <c:v>1.0351365517071014E-2</c:v>
                </c:pt>
                <c:pt idx="56">
                  <c:v>1.0052199094737427E-2</c:v>
                </c:pt>
                <c:pt idx="57">
                  <c:v>9.7508818487030396E-3</c:v>
                </c:pt>
                <c:pt idx="58">
                  <c:v>9.4481348150060509E-3</c:v>
                </c:pt>
                <c:pt idx="59">
                  <c:v>9.1446617066882271E-3</c:v>
                </c:pt>
                <c:pt idx="60">
                  <c:v>8.8411463874462862E-3</c:v>
                </c:pt>
                <c:pt idx="61">
                  <c:v>8.53825053302152E-3</c:v>
                </c:pt>
                <c:pt idx="62">
                  <c:v>8.2366114895604838E-3</c:v>
                </c:pt>
                <c:pt idx="63">
                  <c:v>7.9368403363794353E-3</c:v>
                </c:pt>
                <c:pt idx="64">
                  <c:v>7.639520158760283E-3</c:v>
                </c:pt>
                <c:pt idx="65">
                  <c:v>7.3452045346136478E-3</c:v>
                </c:pt>
                <c:pt idx="66">
                  <c:v>7.054416237082574E-3</c:v>
                </c:pt>
                <c:pt idx="67">
                  <c:v>6.7676461534443635E-3</c:v>
                </c:pt>
                <c:pt idx="68">
                  <c:v>6.4853524190131105E-3</c:v>
                </c:pt>
                <c:pt idx="69">
                  <c:v>6.2079597631655992E-3</c:v>
                </c:pt>
                <c:pt idx="70">
                  <c:v>5.9358590631206779E-3</c:v>
                </c:pt>
                <c:pt idx="71">
                  <c:v>5.6694070997082222E-3</c:v>
                </c:pt>
                <c:pt idx="72">
                  <c:v>5.4089265080777167E-3</c:v>
                </c:pt>
                <c:pt idx="73">
                  <c:v>5.1547059151263817E-3</c:v>
                </c:pt>
                <c:pt idx="74">
                  <c:v>4.9070002543789744E-3</c:v>
                </c:pt>
                <c:pt idx="75">
                  <c:v>4.666031248130675E-3</c:v>
                </c:pt>
                <c:pt idx="76">
                  <c:v>4.4319880458739457E-3</c:v>
                </c:pt>
                <c:pt idx="77">
                  <c:v>4.2050280073717347E-3</c:v>
                </c:pt>
                <c:pt idx="78">
                  <c:v>3.9852776182127143E-3</c:v>
                </c:pt>
                <c:pt idx="79">
                  <c:v>3.7728335252884371E-3</c:v>
                </c:pt>
                <c:pt idx="80">
                  <c:v>3.5677636793644153E-3</c:v>
                </c:pt>
                <c:pt idx="81">
                  <c:v>3.3701085717735293E-3</c:v>
                </c:pt>
                <c:pt idx="82">
                  <c:v>3.1798825522356333E-3</c:v>
                </c:pt>
                <c:pt idx="83">
                  <c:v>2.9970752148958256E-3</c:v>
                </c:pt>
                <c:pt idx="84">
                  <c:v>2.8216528398686278E-3</c:v>
                </c:pt>
                <c:pt idx="85">
                  <c:v>2.6535598778684856E-3</c:v>
                </c:pt>
                <c:pt idx="86">
                  <c:v>2.4927204658903657E-3</c:v>
                </c:pt>
                <c:pt idx="87">
                  <c:v>2.3390399623688034E-3</c:v>
                </c:pt>
                <c:pt idx="88">
                  <c:v>2.1924064907804827E-3</c:v>
                </c:pt>
                <c:pt idx="89">
                  <c:v>2.0526924812547991E-3</c:v>
                </c:pt>
                <c:pt idx="90">
                  <c:v>1.9197562004093145E-3</c:v>
                </c:pt>
                <c:pt idx="91">
                  <c:v>1.7934432603231196E-3</c:v>
                </c:pt>
                <c:pt idx="92">
                  <c:v>1.6735880982913565E-3</c:v>
                </c:pt>
                <c:pt idx="93">
                  <c:v>1.5600154197593834E-3</c:v>
                </c:pt>
                <c:pt idx="94">
                  <c:v>1.4525415976064443E-3</c:v>
                </c:pt>
                <c:pt idx="95">
                  <c:v>1.3509760217276987E-3</c:v>
                </c:pt>
                <c:pt idx="96">
                  <c:v>1.2551223936421577E-3</c:v>
                </c:pt>
                <c:pt idx="97">
                  <c:v>1.1647799616249161E-3</c:v>
                </c:pt>
                <c:pt idx="98">
                  <c:v>1.0797446926183181E-3</c:v>
                </c:pt>
                <c:pt idx="99">
                  <c:v>9.9981037791196459E-4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B-4E4A-8003-B46C882FA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k 이상 확률 P(≥k)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품질표!$L$4</c:f>
              <c:strCache>
                <c:ptCount val="1"/>
                <c:pt idx="0">
                  <c:v>P(≥k)</c:v>
                </c:pt>
              </c:strCache>
            </c:strRef>
          </c:tx>
          <c:spPr>
            <a:ln w="22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품질표!$H$5:$H$104</c:f>
              <c:numCache>
                <c:formatCode>#,##0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품질표!$L$5:$L$104</c:f>
              <c:numCache>
                <c:formatCode>0.0%</c:formatCode>
                <c:ptCount val="100"/>
                <c:pt idx="0">
                  <c:v>1</c:v>
                </c:pt>
                <c:pt idx="1">
                  <c:v>0.98495303555209435</c:v>
                </c:pt>
                <c:pt idx="2">
                  <c:v>0.96990607110418858</c:v>
                </c:pt>
                <c:pt idx="3">
                  <c:v>0.95485910665628293</c:v>
                </c:pt>
                <c:pt idx="4">
                  <c:v>0.93981214220837728</c:v>
                </c:pt>
                <c:pt idx="5">
                  <c:v>0.92476517776047162</c:v>
                </c:pt>
                <c:pt idx="6">
                  <c:v>0.90971821331256586</c:v>
                </c:pt>
                <c:pt idx="7">
                  <c:v>0.89467124886466021</c:v>
                </c:pt>
                <c:pt idx="8">
                  <c:v>0.87962428441675455</c:v>
                </c:pt>
                <c:pt idx="9">
                  <c:v>0.8645773199688489</c:v>
                </c:pt>
                <c:pt idx="10">
                  <c:v>0.84953035552094325</c:v>
                </c:pt>
                <c:pt idx="11">
                  <c:v>0.83448339107303748</c:v>
                </c:pt>
                <c:pt idx="12">
                  <c:v>0.81943642662513183</c:v>
                </c:pt>
                <c:pt idx="13">
                  <c:v>0.80438946217722618</c:v>
                </c:pt>
                <c:pt idx="14">
                  <c:v>0.78934249772932041</c:v>
                </c:pt>
                <c:pt idx="15">
                  <c:v>0.77429553328141476</c:v>
                </c:pt>
                <c:pt idx="16">
                  <c:v>0.75924856883350911</c:v>
                </c:pt>
                <c:pt idx="17">
                  <c:v>0.74420160438560345</c:v>
                </c:pt>
                <c:pt idx="18">
                  <c:v>0.7291546399376978</c:v>
                </c:pt>
                <c:pt idx="19">
                  <c:v>0.71410767548979215</c:v>
                </c:pt>
                <c:pt idx="20">
                  <c:v>0.6990607110418865</c:v>
                </c:pt>
                <c:pt idx="21">
                  <c:v>0.68401374659398084</c:v>
                </c:pt>
                <c:pt idx="22">
                  <c:v>0.66896678214607519</c:v>
                </c:pt>
                <c:pt idx="23">
                  <c:v>0.65391981769816954</c:v>
                </c:pt>
                <c:pt idx="24">
                  <c:v>0.63887285325026388</c:v>
                </c:pt>
                <c:pt idx="25">
                  <c:v>0.62382588880235823</c:v>
                </c:pt>
                <c:pt idx="26">
                  <c:v>0.60877892435445258</c:v>
                </c:pt>
                <c:pt idx="27">
                  <c:v>0.59373195990654692</c:v>
                </c:pt>
                <c:pt idx="28">
                  <c:v>0.57868499545864127</c:v>
                </c:pt>
                <c:pt idx="29">
                  <c:v>0.56363803101073562</c:v>
                </c:pt>
                <c:pt idx="30">
                  <c:v>0.54859106656282997</c:v>
                </c:pt>
                <c:pt idx="31">
                  <c:v>0.53355242589881147</c:v>
                </c:pt>
                <c:pt idx="32">
                  <c:v>0.51853872896899167</c:v>
                </c:pt>
                <c:pt idx="33">
                  <c:v>0.50356651302395805</c:v>
                </c:pt>
                <c:pt idx="34">
                  <c:v>0.48865217798912058</c:v>
                </c:pt>
                <c:pt idx="35">
                  <c:v>0.4738119325966853</c:v>
                </c:pt>
                <c:pt idx="36">
                  <c:v>0.45906174156981872</c:v>
                </c:pt>
                <c:pt idx="37">
                  <c:v>0.44441727414567006</c:v>
                </c:pt>
                <c:pt idx="38">
                  <c:v>0.42989385421363524</c:v>
                </c:pt>
                <c:pt idx="39">
                  <c:v>0.41550641233288915</c:v>
                </c:pt>
                <c:pt idx="40">
                  <c:v>0.40126943987890473</c:v>
                </c:pt>
                <c:pt idx="41">
                  <c:v>0.38719694555255174</c:v>
                </c:pt>
                <c:pt idx="42">
                  <c:v>0.37330241446758688</c:v>
                </c:pt>
                <c:pt idx="43">
                  <c:v>0.35959877001308049</c:v>
                </c:pt>
                <c:pt idx="44">
                  <c:v>0.34609833866675888</c:v>
                </c:pt>
                <c:pt idx="45">
                  <c:v>0.33281281791356965</c:v>
                </c:pt>
                <c:pt idx="46">
                  <c:v>0.31975324740120609</c:v>
                </c:pt>
                <c:pt idx="47">
                  <c:v>0.30692998344106642</c:v>
                </c:pt>
                <c:pt idx="48">
                  <c:v>0.29435267693938616</c:v>
                </c:pt>
                <c:pt idx="49">
                  <c:v>0.28203025481928767</c:v>
                </c:pt>
                <c:pt idx="50">
                  <c:v>0.26997090497044951</c:v>
                </c:pt>
                <c:pt idx="51">
                  <c:v>0.25818206473922317</c:v>
                </c:pt>
                <c:pt idx="52">
                  <c:v>0.24667041294852429</c:v>
                </c:pt>
                <c:pt idx="53">
                  <c:v>0.23544186541389281</c:v>
                </c:pt>
                <c:pt idx="54">
                  <c:v>0.22450157389994432</c:v>
                </c:pt>
                <c:pt idx="55">
                  <c:v>0.21385392844019788</c:v>
                </c:pt>
                <c:pt idx="56">
                  <c:v>0.20350256292312685</c:v>
                </c:pt>
                <c:pt idx="57">
                  <c:v>0.19345036382838948</c:v>
                </c:pt>
                <c:pt idx="58">
                  <c:v>0.18369948197968644</c:v>
                </c:pt>
                <c:pt idx="59">
                  <c:v>0.17425134716468035</c:v>
                </c:pt>
                <c:pt idx="60">
                  <c:v>0.16510668545799215</c:v>
                </c:pt>
                <c:pt idx="61">
                  <c:v>0.15626553907054588</c:v>
                </c:pt>
                <c:pt idx="62">
                  <c:v>0.1477272885375244</c:v>
                </c:pt>
                <c:pt idx="63">
                  <c:v>0.13949067704796392</c:v>
                </c:pt>
                <c:pt idx="64">
                  <c:v>0.13155383671158455</c:v>
                </c:pt>
                <c:pt idx="65">
                  <c:v>0.12391431655282428</c:v>
                </c:pt>
                <c:pt idx="66">
                  <c:v>0.11656911201821062</c:v>
                </c:pt>
                <c:pt idx="67">
                  <c:v>0.10951469578112802</c:v>
                </c:pt>
                <c:pt idx="68">
                  <c:v>0.10274704962768362</c:v>
                </c:pt>
                <c:pt idx="69">
                  <c:v>9.6261697208670532E-2</c:v>
                </c:pt>
                <c:pt idx="70">
                  <c:v>9.0053737445504947E-2</c:v>
                </c:pt>
                <c:pt idx="71">
                  <c:v>8.4117878382384298E-2</c:v>
                </c:pt>
                <c:pt idx="72">
                  <c:v>7.844847128267611E-2</c:v>
                </c:pt>
                <c:pt idx="73">
                  <c:v>7.3039544774598439E-2</c:v>
                </c:pt>
                <c:pt idx="74">
                  <c:v>6.7884838859472066E-2</c:v>
                </c:pt>
                <c:pt idx="75">
                  <c:v>6.2977838605093067E-2</c:v>
                </c:pt>
                <c:pt idx="76">
                  <c:v>5.8311807356962377E-2</c:v>
                </c:pt>
                <c:pt idx="77">
                  <c:v>5.3879819311088394E-2</c:v>
                </c:pt>
                <c:pt idx="78">
                  <c:v>4.9674791303716603E-2</c:v>
                </c:pt>
                <c:pt idx="79">
                  <c:v>4.568951368550387E-2</c:v>
                </c:pt>
                <c:pt idx="80">
                  <c:v>4.191668016021545E-2</c:v>
                </c:pt>
                <c:pt idx="81">
                  <c:v>3.8348916480851009E-2</c:v>
                </c:pt>
                <c:pt idx="82">
                  <c:v>3.4978807909077446E-2</c:v>
                </c:pt>
                <c:pt idx="83">
                  <c:v>3.1798925356841853E-2</c:v>
                </c:pt>
                <c:pt idx="84">
                  <c:v>2.8801850141945973E-2</c:v>
                </c:pt>
                <c:pt idx="85">
                  <c:v>2.5980197302077304E-2</c:v>
                </c:pt>
                <c:pt idx="86">
                  <c:v>2.3326637424208853E-2</c:v>
                </c:pt>
                <c:pt idx="87">
                  <c:v>2.0833916958318453E-2</c:v>
                </c:pt>
                <c:pt idx="88">
                  <c:v>1.8494876995949681E-2</c:v>
                </c:pt>
                <c:pt idx="89">
                  <c:v>1.6302470505169159E-2</c:v>
                </c:pt>
                <c:pt idx="90">
                  <c:v>1.424977802391438E-2</c:v>
                </c:pt>
                <c:pt idx="91">
                  <c:v>1.2330021823505028E-2</c:v>
                </c:pt>
                <c:pt idx="92">
                  <c:v>1.0536578563181942E-2</c:v>
                </c:pt>
                <c:pt idx="93">
                  <c:v>8.8629904648906046E-3</c:v>
                </c:pt>
                <c:pt idx="94">
                  <c:v>7.3029750451312275E-3</c:v>
                </c:pt>
                <c:pt idx="95">
                  <c:v>5.8504334475247477E-3</c:v>
                </c:pt>
                <c:pt idx="96">
                  <c:v>4.4994574257970904E-3</c:v>
                </c:pt>
                <c:pt idx="97">
                  <c:v>3.2443350321549533E-3</c:v>
                </c:pt>
                <c:pt idx="98">
                  <c:v>2.0795550705300656E-3</c:v>
                </c:pt>
                <c:pt idx="99">
                  <c:v>9.9981037791174255E-4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4-4F97-9B6A-6E41B4879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1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showGridLines="0" tabSelected="1" workbookViewId="0"/>
  </sheetViews>
  <sheetFormatPr defaultRowHeight="16.5"/>
  <cols>
    <col min="1" max="1" width="46" customWidth="1"/>
    <col min="2" max="2" width="60" customWidth="1"/>
    <col min="3" max="3" width="12" customWidth="1"/>
  </cols>
  <sheetData>
    <row r="1" spans="1:3" ht="20.25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s="4" t="s">
        <v>3</v>
      </c>
      <c r="B5" s="5" t="s">
        <v>4</v>
      </c>
    </row>
    <row r="6" spans="1:3">
      <c r="A6" s="6" t="s">
        <v>5</v>
      </c>
      <c r="B6" s="5" t="s">
        <v>6</v>
      </c>
    </row>
    <row r="7" spans="1:3">
      <c r="A7" s="7" t="s">
        <v>7</v>
      </c>
      <c r="B7" s="5" t="s">
        <v>8</v>
      </c>
    </row>
    <row r="9" spans="1:3">
      <c r="A9" s="3" t="s">
        <v>9</v>
      </c>
    </row>
    <row r="10" spans="1:3">
      <c r="A10" s="8" t="s">
        <v>10</v>
      </c>
      <c r="B10" s="8" t="s">
        <v>11</v>
      </c>
      <c r="C10" s="8" t="s">
        <v>12</v>
      </c>
    </row>
    <row r="11" spans="1:3">
      <c r="A11" s="9" t="s">
        <v>13</v>
      </c>
      <c r="B11" s="9" t="s">
        <v>14</v>
      </c>
      <c r="C11" s="9" t="s">
        <v>15</v>
      </c>
    </row>
    <row r="12" spans="1:3">
      <c r="A12" s="9" t="s">
        <v>16</v>
      </c>
      <c r="B12" s="9" t="s">
        <v>14</v>
      </c>
      <c r="C12" s="9" t="s">
        <v>17</v>
      </c>
    </row>
    <row r="13" spans="1:3">
      <c r="A13" s="9" t="s">
        <v>18</v>
      </c>
      <c r="B13" s="9" t="s">
        <v>14</v>
      </c>
      <c r="C13" s="9" t="s">
        <v>19</v>
      </c>
    </row>
    <row r="14" spans="1:3">
      <c r="A14" s="9" t="s">
        <v>20</v>
      </c>
      <c r="B14" s="9" t="s">
        <v>21</v>
      </c>
      <c r="C14" s="9" t="s">
        <v>22</v>
      </c>
    </row>
    <row r="15" spans="1:3">
      <c r="A15" s="9" t="s">
        <v>23</v>
      </c>
      <c r="B15" s="9" t="s">
        <v>14</v>
      </c>
      <c r="C15" s="9" t="s">
        <v>24</v>
      </c>
    </row>
    <row r="16" spans="1:3">
      <c r="A16" s="9" t="s">
        <v>25</v>
      </c>
      <c r="B16" s="9" t="s">
        <v>26</v>
      </c>
      <c r="C16" s="9" t="s">
        <v>27</v>
      </c>
    </row>
    <row r="17" spans="1:3">
      <c r="A17" s="9" t="s">
        <v>28</v>
      </c>
      <c r="B17" s="9" t="s">
        <v>29</v>
      </c>
      <c r="C17" s="9" t="s">
        <v>30</v>
      </c>
    </row>
    <row r="18" spans="1:3">
      <c r="A18" s="9" t="s">
        <v>31</v>
      </c>
      <c r="B18" s="9" t="s">
        <v>32</v>
      </c>
      <c r="C18" s="9" t="s">
        <v>33</v>
      </c>
    </row>
    <row r="19" spans="1:3">
      <c r="A19" s="9" t="s">
        <v>34</v>
      </c>
      <c r="B19" s="9" t="s">
        <v>35</v>
      </c>
      <c r="C19" s="9" t="s">
        <v>36</v>
      </c>
    </row>
    <row r="20" spans="1:3">
      <c r="A20" s="9" t="s">
        <v>37</v>
      </c>
      <c r="B20" s="9" t="s">
        <v>38</v>
      </c>
      <c r="C20" s="9" t="s">
        <v>36</v>
      </c>
    </row>
    <row r="21" spans="1:3">
      <c r="A21" s="9" t="s">
        <v>39</v>
      </c>
      <c r="B21" s="9" t="s">
        <v>38</v>
      </c>
      <c r="C21" s="9" t="s">
        <v>40</v>
      </c>
    </row>
    <row r="22" spans="1:3" ht="27">
      <c r="A22" s="9" t="s">
        <v>41</v>
      </c>
      <c r="B22" s="9" t="s">
        <v>38</v>
      </c>
      <c r="C22" s="9" t="s">
        <v>42</v>
      </c>
    </row>
    <row r="23" spans="1:3" ht="27">
      <c r="A23" s="9" t="s">
        <v>43</v>
      </c>
      <c r="B23" s="9" t="s">
        <v>44</v>
      </c>
      <c r="C23" s="9" t="s">
        <v>42</v>
      </c>
    </row>
    <row r="24" spans="1:3">
      <c r="A24" s="9" t="s">
        <v>45</v>
      </c>
      <c r="B24" s="9" t="s">
        <v>46</v>
      </c>
      <c r="C24" s="9" t="s">
        <v>30</v>
      </c>
    </row>
    <row r="25" spans="1:3">
      <c r="A25" s="9" t="s">
        <v>47</v>
      </c>
      <c r="B25" s="9" t="s">
        <v>48</v>
      </c>
      <c r="C25" s="9" t="s">
        <v>49</v>
      </c>
    </row>
    <row r="26" spans="1:3">
      <c r="A26" s="9" t="s">
        <v>50</v>
      </c>
      <c r="B26" s="9" t="s">
        <v>38</v>
      </c>
      <c r="C26" s="9" t="s">
        <v>49</v>
      </c>
    </row>
    <row r="28" spans="1:3">
      <c r="A28" s="3" t="s">
        <v>51</v>
      </c>
    </row>
    <row r="29" spans="1:3">
      <c r="A29" s="5" t="s">
        <v>52</v>
      </c>
    </row>
    <row r="31" spans="1:3">
      <c r="A31" s="3" t="s">
        <v>53</v>
      </c>
    </row>
    <row r="32" spans="1:3">
      <c r="A32" s="5" t="s">
        <v>54</v>
      </c>
    </row>
    <row r="33" spans="1:2">
      <c r="A33" s="5" t="s">
        <v>55</v>
      </c>
    </row>
    <row r="35" spans="1:2">
      <c r="A35" s="3" t="s">
        <v>56</v>
      </c>
    </row>
    <row r="36" spans="1:2">
      <c r="A36" s="8" t="s">
        <v>56</v>
      </c>
      <c r="B36" s="8" t="s">
        <v>57</v>
      </c>
    </row>
    <row r="37" spans="1:2">
      <c r="A37" s="6" t="s">
        <v>58</v>
      </c>
      <c r="B37" s="6" t="s">
        <v>59</v>
      </c>
    </row>
    <row r="38" spans="1:2">
      <c r="A38" s="6" t="s">
        <v>60</v>
      </c>
      <c r="B38" s="6" t="s">
        <v>61</v>
      </c>
    </row>
    <row r="39" spans="1:2">
      <c r="A39" s="6" t="s">
        <v>62</v>
      </c>
      <c r="B39" s="6" t="s">
        <v>63</v>
      </c>
    </row>
    <row r="40" spans="1:2">
      <c r="A40" s="6" t="s">
        <v>64</v>
      </c>
      <c r="B40" s="6" t="s">
        <v>65</v>
      </c>
    </row>
    <row r="41" spans="1:2">
      <c r="A41" s="6" t="s">
        <v>66</v>
      </c>
      <c r="B41" s="6" t="s">
        <v>67</v>
      </c>
    </row>
    <row r="42" spans="1:2">
      <c r="A42" s="6" t="s">
        <v>68</v>
      </c>
      <c r="B42" s="6" t="s">
        <v>69</v>
      </c>
    </row>
    <row r="43" spans="1:2">
      <c r="A43" s="6" t="s">
        <v>70</v>
      </c>
      <c r="B43" s="6" t="s">
        <v>71</v>
      </c>
    </row>
    <row r="44" spans="1:2">
      <c r="A44" s="6" t="s">
        <v>72</v>
      </c>
      <c r="B44" s="6" t="s">
        <v>73</v>
      </c>
    </row>
    <row r="45" spans="1:2">
      <c r="A45" s="6" t="s">
        <v>74</v>
      </c>
      <c r="B45" s="6" t="s">
        <v>75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showGridLines="0" workbookViewId="0"/>
  </sheetViews>
  <sheetFormatPr defaultRowHeight="16.5"/>
  <cols>
    <col min="1" max="1" width="40" customWidth="1"/>
    <col min="2" max="2" width="12" customWidth="1"/>
  </cols>
  <sheetData>
    <row r="1" spans="1:2" ht="20.25">
      <c r="A1" s="1" t="s">
        <v>76</v>
      </c>
    </row>
    <row r="2" spans="1:2">
      <c r="A2" s="2" t="s">
        <v>77</v>
      </c>
    </row>
    <row r="4" spans="1:2">
      <c r="A4" s="8" t="s">
        <v>78</v>
      </c>
      <c r="B4" s="8" t="s">
        <v>79</v>
      </c>
    </row>
    <row r="5" spans="1:2">
      <c r="A5" s="6" t="s">
        <v>80</v>
      </c>
      <c r="B5" s="10">
        <v>5</v>
      </c>
    </row>
    <row r="6" spans="1:2">
      <c r="A6" s="6" t="s">
        <v>81</v>
      </c>
      <c r="B6" s="10">
        <v>3</v>
      </c>
    </row>
    <row r="7" spans="1:2">
      <c r="A7" s="6" t="s">
        <v>82</v>
      </c>
      <c r="B7" s="10">
        <v>2</v>
      </c>
    </row>
    <row r="9" spans="1:2">
      <c r="A9" s="8" t="s">
        <v>83</v>
      </c>
      <c r="B9" s="8" t="s">
        <v>84</v>
      </c>
    </row>
    <row r="10" spans="1:2">
      <c r="A10" s="4" t="s">
        <v>85</v>
      </c>
      <c r="B10" s="10">
        <v>2</v>
      </c>
    </row>
    <row r="11" spans="1:2">
      <c r="A11" s="4" t="s">
        <v>86</v>
      </c>
      <c r="B11" s="10">
        <v>2</v>
      </c>
    </row>
    <row r="12" spans="1:2">
      <c r="A12" s="4" t="s">
        <v>87</v>
      </c>
      <c r="B12" s="10">
        <v>3</v>
      </c>
    </row>
    <row r="13" spans="1:2">
      <c r="A13" s="4" t="s">
        <v>88</v>
      </c>
      <c r="B13" s="10">
        <v>2</v>
      </c>
    </row>
    <row r="14" spans="1:2">
      <c r="A14" s="6" t="s">
        <v>89</v>
      </c>
      <c r="B14" s="11">
        <f>SUM(B10:B13)</f>
        <v>9</v>
      </c>
    </row>
    <row r="16" spans="1:2">
      <c r="A16" s="6" t="s">
        <v>90</v>
      </c>
      <c r="B16" s="10">
        <v>31</v>
      </c>
    </row>
    <row r="17" spans="1:2">
      <c r="A17" s="6" t="s">
        <v>91</v>
      </c>
      <c r="B17" s="11">
        <f>B5+B14*B6</f>
        <v>32</v>
      </c>
    </row>
    <row r="18" spans="1:2">
      <c r="A18" s="6" t="s">
        <v>92</v>
      </c>
      <c r="B18" s="11">
        <f>B17*B16</f>
        <v>992</v>
      </c>
    </row>
    <row r="19" spans="1:2">
      <c r="A19" s="6" t="s">
        <v>93</v>
      </c>
      <c r="B19" s="12">
        <f>탐험!$B$53</f>
        <v>21.820408163265309</v>
      </c>
    </row>
    <row r="20" spans="1:2">
      <c r="A20" s="6" t="s">
        <v>94</v>
      </c>
      <c r="B20" s="12">
        <f>탐험!$D$53</f>
        <v>36.367346938775512</v>
      </c>
    </row>
    <row r="21" spans="1:2">
      <c r="A21" s="6" t="s">
        <v>95</v>
      </c>
      <c r="B21" s="13">
        <f>화폐·상점!$E$34</f>
        <v>24</v>
      </c>
    </row>
    <row r="23" spans="1:2">
      <c r="A23" s="2" t="s">
        <v>96</v>
      </c>
    </row>
    <row r="24" spans="1:2">
      <c r="A24" s="2" t="s">
        <v>97</v>
      </c>
    </row>
    <row r="25" spans="1:2">
      <c r="A25" s="2" t="s">
        <v>98</v>
      </c>
    </row>
    <row r="26" spans="1:2">
      <c r="A26" s="2" t="s">
        <v>99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showGridLines="0" workbookViewId="0"/>
  </sheetViews>
  <sheetFormatPr defaultRowHeight="16.5"/>
  <cols>
    <col min="1" max="1" width="34" customWidth="1"/>
    <col min="2" max="5" width="14" customWidth="1"/>
    <col min="6" max="6" width="12" customWidth="1"/>
    <col min="7" max="7" width="20" customWidth="1"/>
    <col min="8" max="8" width="18" customWidth="1"/>
  </cols>
  <sheetData>
    <row r="1" spans="1:8" ht="20.25">
      <c r="A1" s="1" t="s">
        <v>60</v>
      </c>
    </row>
    <row r="2" spans="1:8">
      <c r="A2" s="2" t="s">
        <v>100</v>
      </c>
    </row>
    <row r="4" spans="1:8">
      <c r="A4" s="8" t="s">
        <v>10</v>
      </c>
      <c r="B4" s="8" t="s">
        <v>101</v>
      </c>
    </row>
    <row r="5" spans="1:8">
      <c r="A5" s="6" t="s">
        <v>102</v>
      </c>
      <c r="B5" s="10">
        <v>3</v>
      </c>
    </row>
    <row r="6" spans="1:8">
      <c r="A6" s="6" t="s">
        <v>103</v>
      </c>
      <c r="B6" s="10">
        <v>48</v>
      </c>
    </row>
    <row r="7" spans="1:8">
      <c r="A7" s="6" t="s">
        <v>104</v>
      </c>
      <c r="B7" s="14">
        <v>0.01</v>
      </c>
    </row>
    <row r="8" spans="1:8">
      <c r="A8" s="6" t="s">
        <v>105</v>
      </c>
      <c r="B8" s="10">
        <v>2</v>
      </c>
    </row>
    <row r="10" spans="1:8">
      <c r="A10" s="8" t="s">
        <v>106</v>
      </c>
      <c r="B10" s="8" t="s">
        <v>107</v>
      </c>
    </row>
    <row r="11" spans="1:8">
      <c r="A11" s="4" t="s">
        <v>108</v>
      </c>
      <c r="B11" s="14">
        <v>0.6</v>
      </c>
    </row>
    <row r="12" spans="1:8">
      <c r="A12" s="4" t="s">
        <v>109</v>
      </c>
      <c r="B12" s="14">
        <v>0.35</v>
      </c>
    </row>
    <row r="13" spans="1:8">
      <c r="A13" s="4" t="s">
        <v>110</v>
      </c>
      <c r="B13" s="14">
        <v>0.05</v>
      </c>
    </row>
    <row r="14" spans="1:8">
      <c r="A14" s="6" t="s">
        <v>111</v>
      </c>
      <c r="B14" s="15">
        <f>SUM(B11:B13)</f>
        <v>1</v>
      </c>
    </row>
    <row r="16" spans="1:8">
      <c r="A16" s="8" t="s">
        <v>106</v>
      </c>
      <c r="B16" s="8" t="s">
        <v>112</v>
      </c>
      <c r="C16" s="8" t="s">
        <v>113</v>
      </c>
      <c r="D16" s="8" t="s">
        <v>114</v>
      </c>
      <c r="E16" s="8" t="s">
        <v>115</v>
      </c>
      <c r="F16" s="8" t="s">
        <v>116</v>
      </c>
      <c r="G16" s="8" t="s">
        <v>117</v>
      </c>
      <c r="H16" s="8" t="s">
        <v>118</v>
      </c>
    </row>
    <row r="17" spans="1:8">
      <c r="A17" s="4" t="s">
        <v>108</v>
      </c>
      <c r="B17" s="4" t="s">
        <v>119</v>
      </c>
      <c r="C17" s="14">
        <v>0.6</v>
      </c>
      <c r="D17" s="10">
        <v>3</v>
      </c>
      <c r="E17" s="10">
        <v>5</v>
      </c>
      <c r="F17" s="16">
        <f t="shared" ref="F17:F23" si="0">(D17+E17)/2</f>
        <v>4</v>
      </c>
      <c r="G17" s="17">
        <f t="shared" ref="G17:G23" si="1">(1-$B$7)*INDEX($B$11:$B$13,MATCH(A17,$A$11:$A$13,0))*C17</f>
        <v>0.35639999999999999</v>
      </c>
      <c r="H17" s="18">
        <f t="shared" ref="H17:H23" si="2">G17*F17</f>
        <v>1.4256</v>
      </c>
    </row>
    <row r="18" spans="1:8">
      <c r="A18" s="4" t="s">
        <v>108</v>
      </c>
      <c r="B18" s="4" t="s">
        <v>120</v>
      </c>
      <c r="C18" s="14">
        <v>0.3</v>
      </c>
      <c r="D18" s="10">
        <v>3</v>
      </c>
      <c r="E18" s="10">
        <v>5</v>
      </c>
      <c r="F18" s="16">
        <f t="shared" si="0"/>
        <v>4</v>
      </c>
      <c r="G18" s="17">
        <f t="shared" si="1"/>
        <v>0.1782</v>
      </c>
      <c r="H18" s="18">
        <f t="shared" si="2"/>
        <v>0.71279999999999999</v>
      </c>
    </row>
    <row r="19" spans="1:8">
      <c r="A19" s="4" t="s">
        <v>108</v>
      </c>
      <c r="B19" s="4" t="s">
        <v>121</v>
      </c>
      <c r="C19" s="14">
        <v>0.09</v>
      </c>
      <c r="D19" s="10">
        <v>2</v>
      </c>
      <c r="E19" s="10">
        <v>4</v>
      </c>
      <c r="F19" s="16">
        <f t="shared" si="0"/>
        <v>3</v>
      </c>
      <c r="G19" s="17">
        <f t="shared" si="1"/>
        <v>5.3459999999999994E-2</v>
      </c>
      <c r="H19" s="18">
        <f t="shared" si="2"/>
        <v>0.16037999999999997</v>
      </c>
    </row>
    <row r="20" spans="1:8">
      <c r="A20" s="4" t="s">
        <v>108</v>
      </c>
      <c r="B20" s="4" t="s">
        <v>122</v>
      </c>
      <c r="C20" s="14">
        <v>0.01</v>
      </c>
      <c r="D20" s="10">
        <v>1</v>
      </c>
      <c r="E20" s="10">
        <v>2</v>
      </c>
      <c r="F20" s="16">
        <f t="shared" si="0"/>
        <v>1.5</v>
      </c>
      <c r="G20" s="17">
        <f t="shared" si="1"/>
        <v>5.94E-3</v>
      </c>
      <c r="H20" s="18">
        <f t="shared" si="2"/>
        <v>8.9099999999999995E-3</v>
      </c>
    </row>
    <row r="21" spans="1:8">
      <c r="A21" s="4" t="s">
        <v>109</v>
      </c>
      <c r="B21" s="4" t="s">
        <v>109</v>
      </c>
      <c r="C21" s="14">
        <v>0.8</v>
      </c>
      <c r="D21" s="10">
        <v>3</v>
      </c>
      <c r="E21" s="10">
        <v>5</v>
      </c>
      <c r="F21" s="16">
        <f t="shared" si="0"/>
        <v>4</v>
      </c>
      <c r="G21" s="17">
        <f t="shared" si="1"/>
        <v>0.2772</v>
      </c>
      <c r="H21" s="18">
        <f t="shared" si="2"/>
        <v>1.1088</v>
      </c>
    </row>
    <row r="22" spans="1:8">
      <c r="A22" s="4" t="s">
        <v>109</v>
      </c>
      <c r="B22" s="4" t="s">
        <v>123</v>
      </c>
      <c r="C22" s="14">
        <v>0.2</v>
      </c>
      <c r="D22" s="10">
        <v>2</v>
      </c>
      <c r="E22" s="10">
        <v>3</v>
      </c>
      <c r="F22" s="16">
        <f t="shared" si="0"/>
        <v>2.5</v>
      </c>
      <c r="G22" s="17">
        <f t="shared" si="1"/>
        <v>6.93E-2</v>
      </c>
      <c r="H22" s="18">
        <f t="shared" si="2"/>
        <v>0.17325000000000002</v>
      </c>
    </row>
    <row r="23" spans="1:8">
      <c r="A23" s="4" t="s">
        <v>110</v>
      </c>
      <c r="B23" s="4" t="s">
        <v>74</v>
      </c>
      <c r="C23" s="14">
        <v>1</v>
      </c>
      <c r="D23" s="10">
        <v>1</v>
      </c>
      <c r="E23" s="10">
        <v>1</v>
      </c>
      <c r="F23" s="16">
        <f t="shared" si="0"/>
        <v>1</v>
      </c>
      <c r="G23" s="17">
        <f t="shared" si="1"/>
        <v>4.9500000000000002E-2</v>
      </c>
      <c r="H23" s="18">
        <f t="shared" si="2"/>
        <v>4.9500000000000002E-2</v>
      </c>
    </row>
    <row r="24" spans="1:8">
      <c r="A24" s="6" t="s">
        <v>124</v>
      </c>
      <c r="C24" s="6" t="str">
        <f>SUMIF(A17:A23,"씨앗",C17:C23)&amp;" · "&amp;SUMIF(A17:A23,"자재",C17:C23)&amp;" · "&amp;SUMIF(A17:A23,"장비",C17:C23)</f>
        <v>1 · 1 · 1</v>
      </c>
    </row>
    <row r="26" spans="1:8" ht="27">
      <c r="A26" s="8" t="s">
        <v>125</v>
      </c>
      <c r="B26" s="8" t="s">
        <v>126</v>
      </c>
      <c r="C26" s="8" t="s">
        <v>117</v>
      </c>
      <c r="D26" s="8" t="s">
        <v>127</v>
      </c>
    </row>
    <row r="27" spans="1:8">
      <c r="A27" s="4" t="s">
        <v>128</v>
      </c>
      <c r="B27" s="14">
        <v>0.5</v>
      </c>
      <c r="C27" s="17">
        <f>$B$7*B27</f>
        <v>5.0000000000000001E-3</v>
      </c>
      <c r="D27" s="4" t="s">
        <v>129</v>
      </c>
    </row>
    <row r="28" spans="1:8">
      <c r="A28" s="4" t="s">
        <v>130</v>
      </c>
      <c r="B28" s="14">
        <v>0.5</v>
      </c>
      <c r="C28" s="17">
        <f>$B$7*B28</f>
        <v>5.0000000000000001E-3</v>
      </c>
      <c r="D28" s="4" t="s">
        <v>131</v>
      </c>
    </row>
    <row r="30" spans="1:8">
      <c r="A30" s="8" t="s">
        <v>132</v>
      </c>
      <c r="B30" s="8" t="s">
        <v>107</v>
      </c>
      <c r="C30" s="8" t="s">
        <v>79</v>
      </c>
      <c r="D30" s="8" t="s">
        <v>122</v>
      </c>
      <c r="E30" s="8" t="s">
        <v>123</v>
      </c>
      <c r="F30" s="8" t="s">
        <v>133</v>
      </c>
      <c r="G30" s="8" t="s">
        <v>128</v>
      </c>
    </row>
    <row r="31" spans="1:8">
      <c r="A31" s="4" t="s">
        <v>134</v>
      </c>
      <c r="B31" s="14">
        <v>0.19800000000000001</v>
      </c>
      <c r="C31" s="10">
        <v>100</v>
      </c>
      <c r="D31" s="10">
        <v>0</v>
      </c>
      <c r="E31" s="10">
        <v>0</v>
      </c>
      <c r="F31" s="10">
        <v>0</v>
      </c>
      <c r="G31" s="10">
        <v>0</v>
      </c>
    </row>
    <row r="32" spans="1:8">
      <c r="A32" s="4" t="s">
        <v>135</v>
      </c>
      <c r="B32" s="14">
        <v>0.19800000000000001</v>
      </c>
      <c r="C32" s="10">
        <v>200</v>
      </c>
      <c r="D32" s="10">
        <v>0</v>
      </c>
      <c r="E32" s="10">
        <v>0</v>
      </c>
      <c r="F32" s="10">
        <v>0</v>
      </c>
      <c r="G32" s="10">
        <v>0</v>
      </c>
    </row>
    <row r="33" spans="1:7">
      <c r="A33" s="4" t="s">
        <v>136</v>
      </c>
      <c r="B33" s="14">
        <v>0.19800000000000001</v>
      </c>
      <c r="C33" s="10">
        <v>0</v>
      </c>
      <c r="D33" s="10">
        <v>3</v>
      </c>
      <c r="E33" s="10">
        <v>0</v>
      </c>
      <c r="F33" s="10">
        <v>0</v>
      </c>
      <c r="G33" s="10">
        <v>0</v>
      </c>
    </row>
    <row r="34" spans="1:7">
      <c r="A34" s="4" t="s">
        <v>137</v>
      </c>
      <c r="B34" s="14">
        <v>0.19800000000000001</v>
      </c>
      <c r="C34" s="10">
        <v>0</v>
      </c>
      <c r="D34" s="10">
        <v>0</v>
      </c>
      <c r="E34" s="10">
        <v>50</v>
      </c>
      <c r="F34" s="10">
        <v>0</v>
      </c>
      <c r="G34" s="10">
        <v>0</v>
      </c>
    </row>
    <row r="35" spans="1:7">
      <c r="A35" s="4" t="s">
        <v>138</v>
      </c>
      <c r="B35" s="14">
        <v>0.19800000000000001</v>
      </c>
      <c r="C35" s="10">
        <v>0</v>
      </c>
      <c r="D35" s="10">
        <v>0</v>
      </c>
      <c r="E35" s="10">
        <v>0</v>
      </c>
      <c r="F35" s="10">
        <v>10</v>
      </c>
      <c r="G35" s="10">
        <v>0</v>
      </c>
    </row>
    <row r="36" spans="1:7">
      <c r="A36" s="4" t="s">
        <v>139</v>
      </c>
      <c r="B36" s="14">
        <v>0.01</v>
      </c>
      <c r="C36" s="10">
        <v>0</v>
      </c>
      <c r="D36" s="10">
        <v>0</v>
      </c>
      <c r="E36" s="10">
        <v>0</v>
      </c>
      <c r="F36" s="10">
        <v>0</v>
      </c>
      <c r="G36" s="10">
        <v>2</v>
      </c>
    </row>
    <row r="37" spans="1:7">
      <c r="A37" s="6" t="s">
        <v>140</v>
      </c>
      <c r="B37" s="15">
        <f>SUM(B31:B36)</f>
        <v>1</v>
      </c>
    </row>
    <row r="38" spans="1:7">
      <c r="A38" s="6" t="s">
        <v>141</v>
      </c>
      <c r="B38" s="18">
        <f>1/(1-SUMPRODUCT(B31:B36,G31:G36))</f>
        <v>1.0204081632653061</v>
      </c>
    </row>
    <row r="39" spans="1:7">
      <c r="A39" s="6" t="s">
        <v>142</v>
      </c>
      <c r="C39" s="19">
        <f>$B$38*SUMPRODUCT($B$31:$B$36,C31:C36)</f>
        <v>60.612244897959194</v>
      </c>
      <c r="D39" s="19">
        <f>$B$38*SUMPRODUCT($B$31:$B$36,D31:D36)</f>
        <v>0.60612244897959189</v>
      </c>
      <c r="E39" s="19">
        <f>$B$38*SUMPRODUCT($B$31:$B$36,E31:E36)</f>
        <v>10.102040816326531</v>
      </c>
      <c r="F39" s="19">
        <f>$B$38*SUMPRODUCT($B$31:$B$36,F31:F36)</f>
        <v>2.0204081632653064</v>
      </c>
    </row>
    <row r="41" spans="1:7">
      <c r="A41" s="8" t="s">
        <v>143</v>
      </c>
      <c r="B41" s="8" t="s">
        <v>144</v>
      </c>
      <c r="C41" s="8" t="s">
        <v>145</v>
      </c>
      <c r="D41" s="8" t="s">
        <v>146</v>
      </c>
    </row>
    <row r="42" spans="1:7">
      <c r="A42" s="6" t="s">
        <v>147</v>
      </c>
      <c r="B42" s="11">
        <v>0</v>
      </c>
      <c r="C42" s="11">
        <v>1</v>
      </c>
      <c r="D42" s="11">
        <v>2</v>
      </c>
    </row>
    <row r="43" spans="1:7">
      <c r="A43" s="6" t="s">
        <v>148</v>
      </c>
      <c r="B43" s="11">
        <f>24*($B$5+B42)</f>
        <v>72</v>
      </c>
      <c r="C43" s="11">
        <f>24*($B$5+C42)</f>
        <v>96</v>
      </c>
      <c r="D43" s="11">
        <f>24*($B$5+D42)</f>
        <v>120</v>
      </c>
    </row>
    <row r="44" spans="1:7">
      <c r="A44" s="6" t="s">
        <v>119</v>
      </c>
      <c r="B44" s="19">
        <f>B$43*$H$17</f>
        <v>102.64319999999999</v>
      </c>
      <c r="C44" s="19">
        <f>C$43*$H$17</f>
        <v>136.85759999999999</v>
      </c>
      <c r="D44" s="19">
        <f>D$43*$H$17</f>
        <v>171.072</v>
      </c>
    </row>
    <row r="45" spans="1:7">
      <c r="A45" s="6" t="s">
        <v>120</v>
      </c>
      <c r="B45" s="19">
        <f>B$43*$H$18</f>
        <v>51.321599999999997</v>
      </c>
      <c r="C45" s="19">
        <f>C$43*$H$18</f>
        <v>68.428799999999995</v>
      </c>
      <c r="D45" s="19">
        <f>D$43*$H$18</f>
        <v>85.536000000000001</v>
      </c>
    </row>
    <row r="46" spans="1:7">
      <c r="A46" s="6" t="s">
        <v>121</v>
      </c>
      <c r="B46" s="19">
        <f>B$43*$H$19</f>
        <v>11.547359999999998</v>
      </c>
      <c r="C46" s="19">
        <f>C$43*$H$19</f>
        <v>15.396479999999997</v>
      </c>
      <c r="D46" s="19">
        <f>D$43*$H$19</f>
        <v>19.245599999999996</v>
      </c>
    </row>
    <row r="47" spans="1:7">
      <c r="A47" s="6" t="s">
        <v>122</v>
      </c>
      <c r="B47" s="19">
        <f>B$43*$H$20</f>
        <v>0.64151999999999998</v>
      </c>
      <c r="C47" s="19">
        <f>C$43*$H$20</f>
        <v>0.8553599999999999</v>
      </c>
      <c r="D47" s="19">
        <f>D$43*$H$20</f>
        <v>1.0691999999999999</v>
      </c>
    </row>
    <row r="48" spans="1:7">
      <c r="A48" s="6" t="s">
        <v>109</v>
      </c>
      <c r="B48" s="19">
        <f>B$43*$H$21</f>
        <v>79.833600000000004</v>
      </c>
      <c r="C48" s="19">
        <f>C$43*$H$21</f>
        <v>106.4448</v>
      </c>
      <c r="D48" s="19">
        <f>D$43*$H$21</f>
        <v>133.05600000000001</v>
      </c>
    </row>
    <row r="49" spans="1:4">
      <c r="A49" s="6" t="s">
        <v>123</v>
      </c>
      <c r="B49" s="19">
        <f>B$43*$H$22</f>
        <v>12.474</v>
      </c>
      <c r="C49" s="19">
        <f>C$43*$H$22</f>
        <v>16.632000000000001</v>
      </c>
      <c r="D49" s="19">
        <f>D$43*$H$22</f>
        <v>20.790000000000003</v>
      </c>
    </row>
    <row r="50" spans="1:4">
      <c r="A50" s="6" t="s">
        <v>74</v>
      </c>
      <c r="B50" s="19">
        <f>B$43*$H$23</f>
        <v>3.5640000000000001</v>
      </c>
      <c r="C50" s="19">
        <f>C$43*$H$23</f>
        <v>4.7520000000000007</v>
      </c>
      <c r="D50" s="19">
        <f>D$43*$H$23</f>
        <v>5.94</v>
      </c>
    </row>
    <row r="51" spans="1:4">
      <c r="A51" s="6" t="s">
        <v>128</v>
      </c>
      <c r="B51" s="19">
        <f>B$43*$C$27</f>
        <v>0.36</v>
      </c>
      <c r="C51" s="19">
        <f>C$43*$C$27</f>
        <v>0.48</v>
      </c>
      <c r="D51" s="19">
        <f>D$43*$C$27</f>
        <v>0.6</v>
      </c>
    </row>
    <row r="52" spans="1:4">
      <c r="A52" s="6" t="s">
        <v>130</v>
      </c>
      <c r="B52" s="19">
        <f>B$43*$C$28</f>
        <v>0.36</v>
      </c>
      <c r="C52" s="19">
        <f>C$43*$C$28</f>
        <v>0.48</v>
      </c>
      <c r="D52" s="19">
        <f>D$43*$C$28</f>
        <v>0.6</v>
      </c>
    </row>
    <row r="53" spans="1:4">
      <c r="A53" s="6" t="s">
        <v>149</v>
      </c>
      <c r="B53" s="19">
        <f>B51*$C$39</f>
        <v>21.820408163265309</v>
      </c>
      <c r="C53" s="19">
        <f>C51*$C$39</f>
        <v>29.093877551020412</v>
      </c>
      <c r="D53" s="19">
        <f>D51*$C$39</f>
        <v>36.367346938775512</v>
      </c>
    </row>
    <row r="54" spans="1:4">
      <c r="A54" s="6" t="s">
        <v>150</v>
      </c>
      <c r="B54" s="19">
        <f>B51*$D$39</f>
        <v>0.21820408163265306</v>
      </c>
      <c r="C54" s="19">
        <f>C51*$D$39</f>
        <v>0.29093877551020408</v>
      </c>
      <c r="D54" s="19">
        <f>D51*$D$39</f>
        <v>0.36367346938775513</v>
      </c>
    </row>
    <row r="55" spans="1:4">
      <c r="A55" s="6" t="s">
        <v>151</v>
      </c>
      <c r="B55" s="19">
        <f>B51*$E$39</f>
        <v>3.6367346938775507</v>
      </c>
      <c r="C55" s="19">
        <f>C51*$E$39</f>
        <v>4.8489795918367342</v>
      </c>
      <c r="D55" s="19">
        <f>D51*$E$39</f>
        <v>6.0612244897959178</v>
      </c>
    </row>
    <row r="56" spans="1:4">
      <c r="A56" s="6" t="s">
        <v>152</v>
      </c>
      <c r="B56" s="19">
        <f>B51*$F$39</f>
        <v>0.72734693877551027</v>
      </c>
      <c r="C56" s="19">
        <f>C51*$F$39</f>
        <v>0.96979591836734702</v>
      </c>
      <c r="D56" s="19">
        <f>D51*$F$39</f>
        <v>1.2122448979591838</v>
      </c>
    </row>
    <row r="57" spans="1:4">
      <c r="A57" s="6" t="s">
        <v>153</v>
      </c>
      <c r="B57" s="19">
        <f>B49+B55</f>
        <v>16.11073469387755</v>
      </c>
      <c r="C57" s="19">
        <f>C49+C55</f>
        <v>21.480979591836736</v>
      </c>
      <c r="D57" s="19">
        <f>D49+D55</f>
        <v>26.851224489795921</v>
      </c>
    </row>
    <row r="59" spans="1:4">
      <c r="A59" s="2" t="s">
        <v>154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"/>
  <sheetViews>
    <sheetView showGridLines="0" workbookViewId="0"/>
  </sheetViews>
  <sheetFormatPr defaultRowHeight="16.5"/>
  <cols>
    <col min="1" max="1" width="14" customWidth="1"/>
    <col min="2" max="2" width="8" customWidth="1"/>
    <col min="3" max="3" width="16" customWidth="1"/>
    <col min="4" max="5" width="10" customWidth="1"/>
    <col min="6" max="6" width="16" customWidth="1"/>
    <col min="7" max="9" width="12" customWidth="1"/>
    <col min="10" max="10" width="14" customWidth="1"/>
  </cols>
  <sheetData>
    <row r="1" spans="1:10" ht="20.25">
      <c r="A1" s="1" t="s">
        <v>62</v>
      </c>
    </row>
    <row r="2" spans="1:10">
      <c r="A2" s="2" t="s">
        <v>155</v>
      </c>
    </row>
    <row r="4" spans="1:10">
      <c r="A4" s="8" t="s">
        <v>156</v>
      </c>
      <c r="B4" s="8" t="s">
        <v>157</v>
      </c>
      <c r="C4" s="8" t="s">
        <v>158</v>
      </c>
      <c r="D4" s="8" t="s">
        <v>159</v>
      </c>
      <c r="E4" s="8" t="s">
        <v>160</v>
      </c>
      <c r="F4" s="8" t="s">
        <v>161</v>
      </c>
    </row>
    <row r="5" spans="1:10">
      <c r="A5" s="6" t="s">
        <v>119</v>
      </c>
      <c r="B5" s="14">
        <v>0.7</v>
      </c>
      <c r="C5" s="14">
        <v>0.25</v>
      </c>
      <c r="D5" s="14">
        <v>0.05</v>
      </c>
      <c r="E5" s="14">
        <v>0</v>
      </c>
      <c r="F5" s="15">
        <f>SUM(B5:E5)</f>
        <v>1</v>
      </c>
    </row>
    <row r="6" spans="1:10">
      <c r="A6" s="6" t="s">
        <v>120</v>
      </c>
      <c r="B6" s="14">
        <v>0.3</v>
      </c>
      <c r="C6" s="14">
        <v>0.5</v>
      </c>
      <c r="D6" s="14">
        <v>0.2</v>
      </c>
      <c r="E6" s="14">
        <v>0</v>
      </c>
      <c r="F6" s="15">
        <f>SUM(B6:E6)</f>
        <v>1</v>
      </c>
    </row>
    <row r="7" spans="1:10">
      <c r="A7" s="6" t="s">
        <v>121</v>
      </c>
      <c r="B7" s="14">
        <v>0.05</v>
      </c>
      <c r="C7" s="14">
        <v>0.4</v>
      </c>
      <c r="D7" s="14">
        <v>0.5</v>
      </c>
      <c r="E7" s="14">
        <v>0.05</v>
      </c>
      <c r="F7" s="15">
        <f>SUM(B7:E7)</f>
        <v>1</v>
      </c>
    </row>
    <row r="8" spans="1:10">
      <c r="A8" s="6" t="s">
        <v>122</v>
      </c>
      <c r="B8" s="14">
        <v>0</v>
      </c>
      <c r="C8" s="14">
        <v>0</v>
      </c>
      <c r="D8" s="14">
        <v>0.5</v>
      </c>
      <c r="E8" s="14">
        <v>0.5</v>
      </c>
      <c r="F8" s="15">
        <f>SUM(B8:E8)</f>
        <v>1</v>
      </c>
    </row>
    <row r="10" spans="1:10">
      <c r="A10" s="8" t="s">
        <v>162</v>
      </c>
      <c r="B10" s="8" t="s">
        <v>163</v>
      </c>
      <c r="C10" s="8" t="s">
        <v>164</v>
      </c>
      <c r="D10" s="8" t="s">
        <v>165</v>
      </c>
    </row>
    <row r="11" spans="1:10">
      <c r="A11" s="6" t="s">
        <v>157</v>
      </c>
      <c r="B11" s="10">
        <v>2</v>
      </c>
      <c r="C11" s="10">
        <v>3</v>
      </c>
      <c r="D11" s="11">
        <f>COUNTIF($B$17:$B$71,A11)</f>
        <v>20</v>
      </c>
    </row>
    <row r="12" spans="1:10">
      <c r="A12" s="6" t="s">
        <v>158</v>
      </c>
      <c r="B12" s="10">
        <v>2</v>
      </c>
      <c r="C12" s="10">
        <v>3</v>
      </c>
      <c r="D12" s="11">
        <f>COUNTIF($B$17:$B$71,A12)</f>
        <v>20</v>
      </c>
    </row>
    <row r="13" spans="1:10">
      <c r="A13" s="6" t="s">
        <v>159</v>
      </c>
      <c r="B13" s="10">
        <v>1</v>
      </c>
      <c r="C13" s="10">
        <v>2</v>
      </c>
      <c r="D13" s="11">
        <f>COUNTIF($B$17:$B$71,A13)</f>
        <v>10</v>
      </c>
    </row>
    <row r="14" spans="1:10">
      <c r="A14" s="6" t="s">
        <v>160</v>
      </c>
      <c r="B14" s="10">
        <v>1</v>
      </c>
      <c r="C14" s="10">
        <v>1</v>
      </c>
      <c r="D14" s="11">
        <f>COUNTIF($B$17:$B$71,A14)</f>
        <v>5</v>
      </c>
    </row>
    <row r="16" spans="1:10" ht="27">
      <c r="A16" s="8" t="s">
        <v>166</v>
      </c>
      <c r="B16" s="8" t="s">
        <v>167</v>
      </c>
      <c r="C16" s="8" t="s">
        <v>168</v>
      </c>
      <c r="D16" s="8" t="s">
        <v>163</v>
      </c>
      <c r="E16" s="8" t="s">
        <v>164</v>
      </c>
      <c r="F16" s="8" t="s">
        <v>169</v>
      </c>
      <c r="G16" s="8" t="s">
        <v>170</v>
      </c>
      <c r="H16" s="8" t="s">
        <v>171</v>
      </c>
      <c r="I16" s="8" t="s">
        <v>172</v>
      </c>
      <c r="J16" s="8" t="s">
        <v>173</v>
      </c>
    </row>
    <row r="17" spans="1:10">
      <c r="A17" s="11">
        <v>1</v>
      </c>
      <c r="B17" s="4" t="s">
        <v>157</v>
      </c>
      <c r="C17" s="4" t="s">
        <v>174</v>
      </c>
      <c r="D17" s="11">
        <f t="shared" ref="D17:D48" si="0">INDEX($B$11:$B$14,MATCH(B17,$A$11:$A$14,0))</f>
        <v>2</v>
      </c>
      <c r="E17" s="11">
        <f t="shared" ref="E17:E48" si="1">INDEX($C$11:$C$14,MATCH(B17,$A$11:$A$14,0))</f>
        <v>3</v>
      </c>
      <c r="F17" s="17">
        <f t="shared" ref="F17:F48" si="2">INDEX($B$5:$E$5,MATCH($B17,$B$4:$E$4,0))/INDEX($D$11:$D$14,MATCH($B17,$A$11:$A$14,0))</f>
        <v>3.4999999999999996E-2</v>
      </c>
      <c r="G17" s="17">
        <f t="shared" ref="G17:G48" si="3">INDEX($B$6:$E$6,MATCH($B17,$B$4:$E$4,0))/INDEX($D$11:$D$14,MATCH($B17,$A$11:$A$14,0))</f>
        <v>1.4999999999999999E-2</v>
      </c>
      <c r="H17" s="17">
        <f t="shared" ref="H17:H48" si="4">INDEX($B$7:$E$7,MATCH($B17,$B$4:$E$4,0))/INDEX($D$11:$D$14,MATCH($B17,$A$11:$A$14,0))</f>
        <v>2.5000000000000001E-3</v>
      </c>
      <c r="I17" s="17">
        <f t="shared" ref="I17:I48" si="5">INDEX($B$8:$E$8,MATCH($B17,$B$4:$E$4,0))/INDEX($D$11:$D$14,MATCH($B17,$A$11:$A$14,0))</f>
        <v>0</v>
      </c>
      <c r="J17" s="13">
        <f>COUNTIF('요리 목록'!$D$5:$D$104,C17)+COUNTIF('요리 목록'!$F$5:$F$104,C17)+COUNTIF('요리 목록'!$H$5:$H$104,C17)</f>
        <v>9</v>
      </c>
    </row>
    <row r="18" spans="1:10">
      <c r="A18" s="11">
        <v>2</v>
      </c>
      <c r="B18" s="4" t="s">
        <v>157</v>
      </c>
      <c r="C18" s="4" t="s">
        <v>175</v>
      </c>
      <c r="D18" s="11">
        <f t="shared" si="0"/>
        <v>2</v>
      </c>
      <c r="E18" s="11">
        <f t="shared" si="1"/>
        <v>3</v>
      </c>
      <c r="F18" s="17">
        <f t="shared" si="2"/>
        <v>3.4999999999999996E-2</v>
      </c>
      <c r="G18" s="17">
        <f t="shared" si="3"/>
        <v>1.4999999999999999E-2</v>
      </c>
      <c r="H18" s="17">
        <f t="shared" si="4"/>
        <v>2.5000000000000001E-3</v>
      </c>
      <c r="I18" s="17">
        <f t="shared" si="5"/>
        <v>0</v>
      </c>
      <c r="J18" s="13">
        <f>COUNTIF('요리 목록'!$D$5:$D$104,C18)+COUNTIF('요리 목록'!$F$5:$F$104,C18)+COUNTIF('요리 목록'!$H$5:$H$104,C18)</f>
        <v>4</v>
      </c>
    </row>
    <row r="19" spans="1:10">
      <c r="A19" s="11">
        <v>3</v>
      </c>
      <c r="B19" s="4" t="s">
        <v>157</v>
      </c>
      <c r="C19" s="4" t="s">
        <v>176</v>
      </c>
      <c r="D19" s="11">
        <f t="shared" si="0"/>
        <v>2</v>
      </c>
      <c r="E19" s="11">
        <f t="shared" si="1"/>
        <v>3</v>
      </c>
      <c r="F19" s="17">
        <f t="shared" si="2"/>
        <v>3.4999999999999996E-2</v>
      </c>
      <c r="G19" s="17">
        <f t="shared" si="3"/>
        <v>1.4999999999999999E-2</v>
      </c>
      <c r="H19" s="17">
        <f t="shared" si="4"/>
        <v>2.5000000000000001E-3</v>
      </c>
      <c r="I19" s="17">
        <f t="shared" si="5"/>
        <v>0</v>
      </c>
      <c r="J19" s="13">
        <f>COUNTIF('요리 목록'!$D$5:$D$104,C19)+COUNTIF('요리 목록'!$F$5:$F$104,C19)+COUNTIF('요리 목록'!$H$5:$H$104,C19)</f>
        <v>8</v>
      </c>
    </row>
    <row r="20" spans="1:10">
      <c r="A20" s="11">
        <v>4</v>
      </c>
      <c r="B20" s="4" t="s">
        <v>157</v>
      </c>
      <c r="C20" s="4" t="s">
        <v>177</v>
      </c>
      <c r="D20" s="11">
        <f t="shared" si="0"/>
        <v>2</v>
      </c>
      <c r="E20" s="11">
        <f t="shared" si="1"/>
        <v>3</v>
      </c>
      <c r="F20" s="17">
        <f t="shared" si="2"/>
        <v>3.4999999999999996E-2</v>
      </c>
      <c r="G20" s="17">
        <f t="shared" si="3"/>
        <v>1.4999999999999999E-2</v>
      </c>
      <c r="H20" s="17">
        <f t="shared" si="4"/>
        <v>2.5000000000000001E-3</v>
      </c>
      <c r="I20" s="17">
        <f t="shared" si="5"/>
        <v>0</v>
      </c>
      <c r="J20" s="13">
        <f>COUNTIF('요리 목록'!$D$5:$D$104,C20)+COUNTIF('요리 목록'!$F$5:$F$104,C20)+COUNTIF('요리 목록'!$H$5:$H$104,C20)</f>
        <v>2</v>
      </c>
    </row>
    <row r="21" spans="1:10">
      <c r="A21" s="11">
        <v>5</v>
      </c>
      <c r="B21" s="4" t="s">
        <v>157</v>
      </c>
      <c r="C21" s="4" t="s">
        <v>178</v>
      </c>
      <c r="D21" s="11">
        <f t="shared" si="0"/>
        <v>2</v>
      </c>
      <c r="E21" s="11">
        <f t="shared" si="1"/>
        <v>3</v>
      </c>
      <c r="F21" s="17">
        <f t="shared" si="2"/>
        <v>3.4999999999999996E-2</v>
      </c>
      <c r="G21" s="17">
        <f t="shared" si="3"/>
        <v>1.4999999999999999E-2</v>
      </c>
      <c r="H21" s="17">
        <f t="shared" si="4"/>
        <v>2.5000000000000001E-3</v>
      </c>
      <c r="I21" s="17">
        <f t="shared" si="5"/>
        <v>0</v>
      </c>
      <c r="J21" s="13">
        <f>COUNTIF('요리 목록'!$D$5:$D$104,C21)+COUNTIF('요리 목록'!$F$5:$F$104,C21)+COUNTIF('요리 목록'!$H$5:$H$104,C21)</f>
        <v>11</v>
      </c>
    </row>
    <row r="22" spans="1:10">
      <c r="A22" s="11">
        <v>6</v>
      </c>
      <c r="B22" s="4" t="s">
        <v>157</v>
      </c>
      <c r="C22" s="4" t="s">
        <v>179</v>
      </c>
      <c r="D22" s="11">
        <f t="shared" si="0"/>
        <v>2</v>
      </c>
      <c r="E22" s="11">
        <f t="shared" si="1"/>
        <v>3</v>
      </c>
      <c r="F22" s="17">
        <f t="shared" si="2"/>
        <v>3.4999999999999996E-2</v>
      </c>
      <c r="G22" s="17">
        <f t="shared" si="3"/>
        <v>1.4999999999999999E-2</v>
      </c>
      <c r="H22" s="17">
        <f t="shared" si="4"/>
        <v>2.5000000000000001E-3</v>
      </c>
      <c r="I22" s="17">
        <f t="shared" si="5"/>
        <v>0</v>
      </c>
      <c r="J22" s="13">
        <f>COUNTIF('요리 목록'!$D$5:$D$104,C22)+COUNTIF('요리 목록'!$F$5:$F$104,C22)+COUNTIF('요리 목록'!$H$5:$H$104,C22)</f>
        <v>11</v>
      </c>
    </row>
    <row r="23" spans="1:10">
      <c r="A23" s="11">
        <v>7</v>
      </c>
      <c r="B23" s="4" t="s">
        <v>157</v>
      </c>
      <c r="C23" s="4" t="s">
        <v>180</v>
      </c>
      <c r="D23" s="11">
        <f t="shared" si="0"/>
        <v>2</v>
      </c>
      <c r="E23" s="11">
        <f t="shared" si="1"/>
        <v>3</v>
      </c>
      <c r="F23" s="17">
        <f t="shared" si="2"/>
        <v>3.4999999999999996E-2</v>
      </c>
      <c r="G23" s="17">
        <f t="shared" si="3"/>
        <v>1.4999999999999999E-2</v>
      </c>
      <c r="H23" s="17">
        <f t="shared" si="4"/>
        <v>2.5000000000000001E-3</v>
      </c>
      <c r="I23" s="17">
        <f t="shared" si="5"/>
        <v>0</v>
      </c>
      <c r="J23" s="13">
        <f>COUNTIF('요리 목록'!$D$5:$D$104,C23)+COUNTIF('요리 목록'!$F$5:$F$104,C23)+COUNTIF('요리 목록'!$H$5:$H$104,C23)</f>
        <v>10</v>
      </c>
    </row>
    <row r="24" spans="1:10">
      <c r="A24" s="11">
        <v>8</v>
      </c>
      <c r="B24" s="4" t="s">
        <v>157</v>
      </c>
      <c r="C24" s="4" t="s">
        <v>181</v>
      </c>
      <c r="D24" s="11">
        <f t="shared" si="0"/>
        <v>2</v>
      </c>
      <c r="E24" s="11">
        <f t="shared" si="1"/>
        <v>3</v>
      </c>
      <c r="F24" s="17">
        <f t="shared" si="2"/>
        <v>3.4999999999999996E-2</v>
      </c>
      <c r="G24" s="17">
        <f t="shared" si="3"/>
        <v>1.4999999999999999E-2</v>
      </c>
      <c r="H24" s="17">
        <f t="shared" si="4"/>
        <v>2.5000000000000001E-3</v>
      </c>
      <c r="I24" s="17">
        <f t="shared" si="5"/>
        <v>0</v>
      </c>
      <c r="J24" s="13">
        <f>COUNTIF('요리 목록'!$D$5:$D$104,C24)+COUNTIF('요리 목록'!$F$5:$F$104,C24)+COUNTIF('요리 목록'!$H$5:$H$104,C24)</f>
        <v>4</v>
      </c>
    </row>
    <row r="25" spans="1:10">
      <c r="A25" s="11">
        <v>9</v>
      </c>
      <c r="B25" s="4" t="s">
        <v>157</v>
      </c>
      <c r="C25" s="4" t="s">
        <v>182</v>
      </c>
      <c r="D25" s="11">
        <f t="shared" si="0"/>
        <v>2</v>
      </c>
      <c r="E25" s="11">
        <f t="shared" si="1"/>
        <v>3</v>
      </c>
      <c r="F25" s="17">
        <f t="shared" si="2"/>
        <v>3.4999999999999996E-2</v>
      </c>
      <c r="G25" s="17">
        <f t="shared" si="3"/>
        <v>1.4999999999999999E-2</v>
      </c>
      <c r="H25" s="17">
        <f t="shared" si="4"/>
        <v>2.5000000000000001E-3</v>
      </c>
      <c r="I25" s="17">
        <f t="shared" si="5"/>
        <v>0</v>
      </c>
      <c r="J25" s="13">
        <f>COUNTIF('요리 목록'!$D$5:$D$104,C25)+COUNTIF('요리 목록'!$F$5:$F$104,C25)+COUNTIF('요리 목록'!$H$5:$H$104,C25)</f>
        <v>2</v>
      </c>
    </row>
    <row r="26" spans="1:10">
      <c r="A26" s="11">
        <v>10</v>
      </c>
      <c r="B26" s="4" t="s">
        <v>157</v>
      </c>
      <c r="C26" s="4" t="s">
        <v>183</v>
      </c>
      <c r="D26" s="11">
        <f t="shared" si="0"/>
        <v>2</v>
      </c>
      <c r="E26" s="11">
        <f t="shared" si="1"/>
        <v>3</v>
      </c>
      <c r="F26" s="17">
        <f t="shared" si="2"/>
        <v>3.4999999999999996E-2</v>
      </c>
      <c r="G26" s="17">
        <f t="shared" si="3"/>
        <v>1.4999999999999999E-2</v>
      </c>
      <c r="H26" s="17">
        <f t="shared" si="4"/>
        <v>2.5000000000000001E-3</v>
      </c>
      <c r="I26" s="17">
        <f t="shared" si="5"/>
        <v>0</v>
      </c>
      <c r="J26" s="13">
        <f>COUNTIF('요리 목록'!$D$5:$D$104,C26)+COUNTIF('요리 목록'!$F$5:$F$104,C26)+COUNTIF('요리 목록'!$H$5:$H$104,C26)</f>
        <v>3</v>
      </c>
    </row>
    <row r="27" spans="1:10">
      <c r="A27" s="11">
        <v>11</v>
      </c>
      <c r="B27" s="4" t="s">
        <v>157</v>
      </c>
      <c r="C27" s="4" t="s">
        <v>184</v>
      </c>
      <c r="D27" s="11">
        <f t="shared" si="0"/>
        <v>2</v>
      </c>
      <c r="E27" s="11">
        <f t="shared" si="1"/>
        <v>3</v>
      </c>
      <c r="F27" s="17">
        <f t="shared" si="2"/>
        <v>3.4999999999999996E-2</v>
      </c>
      <c r="G27" s="17">
        <f t="shared" si="3"/>
        <v>1.4999999999999999E-2</v>
      </c>
      <c r="H27" s="17">
        <f t="shared" si="4"/>
        <v>2.5000000000000001E-3</v>
      </c>
      <c r="I27" s="17">
        <f t="shared" si="5"/>
        <v>0</v>
      </c>
      <c r="J27" s="13">
        <f>COUNTIF('요리 목록'!$D$5:$D$104,C27)+COUNTIF('요리 목록'!$F$5:$F$104,C27)+COUNTIF('요리 목록'!$H$5:$H$104,C27)</f>
        <v>3</v>
      </c>
    </row>
    <row r="28" spans="1:10">
      <c r="A28" s="11">
        <v>12</v>
      </c>
      <c r="B28" s="4" t="s">
        <v>157</v>
      </c>
      <c r="C28" s="4" t="s">
        <v>185</v>
      </c>
      <c r="D28" s="11">
        <f t="shared" si="0"/>
        <v>2</v>
      </c>
      <c r="E28" s="11">
        <f t="shared" si="1"/>
        <v>3</v>
      </c>
      <c r="F28" s="17">
        <f t="shared" si="2"/>
        <v>3.4999999999999996E-2</v>
      </c>
      <c r="G28" s="17">
        <f t="shared" si="3"/>
        <v>1.4999999999999999E-2</v>
      </c>
      <c r="H28" s="17">
        <f t="shared" si="4"/>
        <v>2.5000000000000001E-3</v>
      </c>
      <c r="I28" s="17">
        <f t="shared" si="5"/>
        <v>0</v>
      </c>
      <c r="J28" s="13">
        <f>COUNTIF('요리 목록'!$D$5:$D$104,C28)+COUNTIF('요리 목록'!$F$5:$F$104,C28)+COUNTIF('요리 목록'!$H$5:$H$104,C28)</f>
        <v>6</v>
      </c>
    </row>
    <row r="29" spans="1:10">
      <c r="A29" s="11">
        <v>13</v>
      </c>
      <c r="B29" s="4" t="s">
        <v>157</v>
      </c>
      <c r="C29" s="4" t="s">
        <v>186</v>
      </c>
      <c r="D29" s="11">
        <f t="shared" si="0"/>
        <v>2</v>
      </c>
      <c r="E29" s="11">
        <f t="shared" si="1"/>
        <v>3</v>
      </c>
      <c r="F29" s="17">
        <f t="shared" si="2"/>
        <v>3.4999999999999996E-2</v>
      </c>
      <c r="G29" s="17">
        <f t="shared" si="3"/>
        <v>1.4999999999999999E-2</v>
      </c>
      <c r="H29" s="17">
        <f t="shared" si="4"/>
        <v>2.5000000000000001E-3</v>
      </c>
      <c r="I29" s="17">
        <f t="shared" si="5"/>
        <v>0</v>
      </c>
      <c r="J29" s="13">
        <f>COUNTIF('요리 목록'!$D$5:$D$104,C29)+COUNTIF('요리 목록'!$F$5:$F$104,C29)+COUNTIF('요리 목록'!$H$5:$H$104,C29)</f>
        <v>4</v>
      </c>
    </row>
    <row r="30" spans="1:10">
      <c r="A30" s="11">
        <v>14</v>
      </c>
      <c r="B30" s="4" t="s">
        <v>157</v>
      </c>
      <c r="C30" s="4" t="s">
        <v>187</v>
      </c>
      <c r="D30" s="11">
        <f t="shared" si="0"/>
        <v>2</v>
      </c>
      <c r="E30" s="11">
        <f t="shared" si="1"/>
        <v>3</v>
      </c>
      <c r="F30" s="17">
        <f t="shared" si="2"/>
        <v>3.4999999999999996E-2</v>
      </c>
      <c r="G30" s="17">
        <f t="shared" si="3"/>
        <v>1.4999999999999999E-2</v>
      </c>
      <c r="H30" s="17">
        <f t="shared" si="4"/>
        <v>2.5000000000000001E-3</v>
      </c>
      <c r="I30" s="17">
        <f t="shared" si="5"/>
        <v>0</v>
      </c>
      <c r="J30" s="13">
        <f>COUNTIF('요리 목록'!$D$5:$D$104,C30)+COUNTIF('요리 목록'!$F$5:$F$104,C30)+COUNTIF('요리 목록'!$H$5:$H$104,C30)</f>
        <v>2</v>
      </c>
    </row>
    <row r="31" spans="1:10">
      <c r="A31" s="11">
        <v>15</v>
      </c>
      <c r="B31" s="4" t="s">
        <v>157</v>
      </c>
      <c r="C31" s="4" t="s">
        <v>188</v>
      </c>
      <c r="D31" s="11">
        <f t="shared" si="0"/>
        <v>2</v>
      </c>
      <c r="E31" s="11">
        <f t="shared" si="1"/>
        <v>3</v>
      </c>
      <c r="F31" s="17">
        <f t="shared" si="2"/>
        <v>3.4999999999999996E-2</v>
      </c>
      <c r="G31" s="17">
        <f t="shared" si="3"/>
        <v>1.4999999999999999E-2</v>
      </c>
      <c r="H31" s="17">
        <f t="shared" si="4"/>
        <v>2.5000000000000001E-3</v>
      </c>
      <c r="I31" s="17">
        <f t="shared" si="5"/>
        <v>0</v>
      </c>
      <c r="J31" s="13">
        <f>COUNTIF('요리 목록'!$D$5:$D$104,C31)+COUNTIF('요리 목록'!$F$5:$F$104,C31)+COUNTIF('요리 목록'!$H$5:$H$104,C31)</f>
        <v>5</v>
      </c>
    </row>
    <row r="32" spans="1:10">
      <c r="A32" s="11">
        <v>16</v>
      </c>
      <c r="B32" s="4" t="s">
        <v>157</v>
      </c>
      <c r="C32" s="4" t="s">
        <v>189</v>
      </c>
      <c r="D32" s="11">
        <f t="shared" si="0"/>
        <v>2</v>
      </c>
      <c r="E32" s="11">
        <f t="shared" si="1"/>
        <v>3</v>
      </c>
      <c r="F32" s="17">
        <f t="shared" si="2"/>
        <v>3.4999999999999996E-2</v>
      </c>
      <c r="G32" s="17">
        <f t="shared" si="3"/>
        <v>1.4999999999999999E-2</v>
      </c>
      <c r="H32" s="17">
        <f t="shared" si="4"/>
        <v>2.5000000000000001E-3</v>
      </c>
      <c r="I32" s="17">
        <f t="shared" si="5"/>
        <v>0</v>
      </c>
      <c r="J32" s="13">
        <f>COUNTIF('요리 목록'!$D$5:$D$104,C32)+COUNTIF('요리 목록'!$F$5:$F$104,C32)+COUNTIF('요리 목록'!$H$5:$H$104,C32)</f>
        <v>7</v>
      </c>
    </row>
    <row r="33" spans="1:10">
      <c r="A33" s="11">
        <v>17</v>
      </c>
      <c r="B33" s="4" t="s">
        <v>157</v>
      </c>
      <c r="C33" s="4" t="s">
        <v>190</v>
      </c>
      <c r="D33" s="11">
        <f t="shared" si="0"/>
        <v>2</v>
      </c>
      <c r="E33" s="11">
        <f t="shared" si="1"/>
        <v>3</v>
      </c>
      <c r="F33" s="17">
        <f t="shared" si="2"/>
        <v>3.4999999999999996E-2</v>
      </c>
      <c r="G33" s="17">
        <f t="shared" si="3"/>
        <v>1.4999999999999999E-2</v>
      </c>
      <c r="H33" s="17">
        <f t="shared" si="4"/>
        <v>2.5000000000000001E-3</v>
      </c>
      <c r="I33" s="17">
        <f t="shared" si="5"/>
        <v>0</v>
      </c>
      <c r="J33" s="13">
        <f>COUNTIF('요리 목록'!$D$5:$D$104,C33)+COUNTIF('요리 목록'!$F$5:$F$104,C33)+COUNTIF('요리 목록'!$H$5:$H$104,C33)</f>
        <v>3</v>
      </c>
    </row>
    <row r="34" spans="1:10">
      <c r="A34" s="11">
        <v>18</v>
      </c>
      <c r="B34" s="4" t="s">
        <v>157</v>
      </c>
      <c r="C34" s="4" t="s">
        <v>191</v>
      </c>
      <c r="D34" s="11">
        <f t="shared" si="0"/>
        <v>2</v>
      </c>
      <c r="E34" s="11">
        <f t="shared" si="1"/>
        <v>3</v>
      </c>
      <c r="F34" s="17">
        <f t="shared" si="2"/>
        <v>3.4999999999999996E-2</v>
      </c>
      <c r="G34" s="17">
        <f t="shared" si="3"/>
        <v>1.4999999999999999E-2</v>
      </c>
      <c r="H34" s="17">
        <f t="shared" si="4"/>
        <v>2.5000000000000001E-3</v>
      </c>
      <c r="I34" s="17">
        <f t="shared" si="5"/>
        <v>0</v>
      </c>
      <c r="J34" s="13">
        <f>COUNTIF('요리 목록'!$D$5:$D$104,C34)+COUNTIF('요리 목록'!$F$5:$F$104,C34)+COUNTIF('요리 목록'!$H$5:$H$104,C34)</f>
        <v>18</v>
      </c>
    </row>
    <row r="35" spans="1:10">
      <c r="A35" s="11">
        <v>19</v>
      </c>
      <c r="B35" s="4" t="s">
        <v>157</v>
      </c>
      <c r="C35" s="4" t="s">
        <v>192</v>
      </c>
      <c r="D35" s="11">
        <f t="shared" si="0"/>
        <v>2</v>
      </c>
      <c r="E35" s="11">
        <f t="shared" si="1"/>
        <v>3</v>
      </c>
      <c r="F35" s="17">
        <f t="shared" si="2"/>
        <v>3.4999999999999996E-2</v>
      </c>
      <c r="G35" s="17">
        <f t="shared" si="3"/>
        <v>1.4999999999999999E-2</v>
      </c>
      <c r="H35" s="17">
        <f t="shared" si="4"/>
        <v>2.5000000000000001E-3</v>
      </c>
      <c r="I35" s="17">
        <f t="shared" si="5"/>
        <v>0</v>
      </c>
      <c r="J35" s="13">
        <f>COUNTIF('요리 목록'!$D$5:$D$104,C35)+COUNTIF('요리 목록'!$F$5:$F$104,C35)+COUNTIF('요리 목록'!$H$5:$H$104,C35)</f>
        <v>25</v>
      </c>
    </row>
    <row r="36" spans="1:10">
      <c r="A36" s="11">
        <v>20</v>
      </c>
      <c r="B36" s="4" t="s">
        <v>157</v>
      </c>
      <c r="C36" s="4" t="s">
        <v>193</v>
      </c>
      <c r="D36" s="11">
        <f t="shared" si="0"/>
        <v>2</v>
      </c>
      <c r="E36" s="11">
        <f t="shared" si="1"/>
        <v>3</v>
      </c>
      <c r="F36" s="17">
        <f t="shared" si="2"/>
        <v>3.4999999999999996E-2</v>
      </c>
      <c r="G36" s="17">
        <f t="shared" si="3"/>
        <v>1.4999999999999999E-2</v>
      </c>
      <c r="H36" s="17">
        <f t="shared" si="4"/>
        <v>2.5000000000000001E-3</v>
      </c>
      <c r="I36" s="17">
        <f t="shared" si="5"/>
        <v>0</v>
      </c>
      <c r="J36" s="13">
        <f>COUNTIF('요리 목록'!$D$5:$D$104,C36)+COUNTIF('요리 목록'!$F$5:$F$104,C36)+COUNTIF('요리 목록'!$H$5:$H$104,C36)</f>
        <v>10</v>
      </c>
    </row>
    <row r="37" spans="1:10">
      <c r="A37" s="11">
        <v>21</v>
      </c>
      <c r="B37" s="4" t="s">
        <v>158</v>
      </c>
      <c r="C37" s="4" t="s">
        <v>194</v>
      </c>
      <c r="D37" s="11">
        <f t="shared" si="0"/>
        <v>2</v>
      </c>
      <c r="E37" s="11">
        <f t="shared" si="1"/>
        <v>3</v>
      </c>
      <c r="F37" s="17">
        <f t="shared" si="2"/>
        <v>1.2500000000000001E-2</v>
      </c>
      <c r="G37" s="17">
        <f t="shared" si="3"/>
        <v>2.5000000000000001E-2</v>
      </c>
      <c r="H37" s="17">
        <f t="shared" si="4"/>
        <v>0.02</v>
      </c>
      <c r="I37" s="17">
        <f t="shared" si="5"/>
        <v>0</v>
      </c>
      <c r="J37" s="13">
        <f>COUNTIF('요리 목록'!$D$5:$D$104,C37)+COUNTIF('요리 목록'!$F$5:$F$104,C37)+COUNTIF('요리 목록'!$H$5:$H$104,C37)</f>
        <v>5</v>
      </c>
    </row>
    <row r="38" spans="1:10">
      <c r="A38" s="11">
        <v>22</v>
      </c>
      <c r="B38" s="4" t="s">
        <v>158</v>
      </c>
      <c r="C38" s="4" t="s">
        <v>195</v>
      </c>
      <c r="D38" s="11">
        <f t="shared" si="0"/>
        <v>2</v>
      </c>
      <c r="E38" s="11">
        <f t="shared" si="1"/>
        <v>3</v>
      </c>
      <c r="F38" s="17">
        <f t="shared" si="2"/>
        <v>1.2500000000000001E-2</v>
      </c>
      <c r="G38" s="17">
        <f t="shared" si="3"/>
        <v>2.5000000000000001E-2</v>
      </c>
      <c r="H38" s="17">
        <f t="shared" si="4"/>
        <v>0.02</v>
      </c>
      <c r="I38" s="17">
        <f t="shared" si="5"/>
        <v>0</v>
      </c>
      <c r="J38" s="13">
        <f>COUNTIF('요리 목록'!$D$5:$D$104,C38)+COUNTIF('요리 목록'!$F$5:$F$104,C38)+COUNTIF('요리 목록'!$H$5:$H$104,C38)</f>
        <v>2</v>
      </c>
    </row>
    <row r="39" spans="1:10">
      <c r="A39" s="11">
        <v>23</v>
      </c>
      <c r="B39" s="4" t="s">
        <v>158</v>
      </c>
      <c r="C39" s="4" t="s">
        <v>196</v>
      </c>
      <c r="D39" s="11">
        <f t="shared" si="0"/>
        <v>2</v>
      </c>
      <c r="E39" s="11">
        <f t="shared" si="1"/>
        <v>3</v>
      </c>
      <c r="F39" s="17">
        <f t="shared" si="2"/>
        <v>1.2500000000000001E-2</v>
      </c>
      <c r="G39" s="17">
        <f t="shared" si="3"/>
        <v>2.5000000000000001E-2</v>
      </c>
      <c r="H39" s="17">
        <f t="shared" si="4"/>
        <v>0.02</v>
      </c>
      <c r="I39" s="17">
        <f t="shared" si="5"/>
        <v>0</v>
      </c>
      <c r="J39" s="13">
        <f>COUNTIF('요리 목록'!$D$5:$D$104,C39)+COUNTIF('요리 목록'!$F$5:$F$104,C39)+COUNTIF('요리 목록'!$H$5:$H$104,C39)</f>
        <v>1</v>
      </c>
    </row>
    <row r="40" spans="1:10">
      <c r="A40" s="11">
        <v>24</v>
      </c>
      <c r="B40" s="4" t="s">
        <v>158</v>
      </c>
      <c r="C40" s="4" t="s">
        <v>197</v>
      </c>
      <c r="D40" s="11">
        <f t="shared" si="0"/>
        <v>2</v>
      </c>
      <c r="E40" s="11">
        <f t="shared" si="1"/>
        <v>3</v>
      </c>
      <c r="F40" s="17">
        <f t="shared" si="2"/>
        <v>1.2500000000000001E-2</v>
      </c>
      <c r="G40" s="17">
        <f t="shared" si="3"/>
        <v>2.5000000000000001E-2</v>
      </c>
      <c r="H40" s="17">
        <f t="shared" si="4"/>
        <v>0.02</v>
      </c>
      <c r="I40" s="17">
        <f t="shared" si="5"/>
        <v>0</v>
      </c>
      <c r="J40" s="13">
        <f>COUNTIF('요리 목록'!$D$5:$D$104,C40)+COUNTIF('요리 목록'!$F$5:$F$104,C40)+COUNTIF('요리 목록'!$H$5:$H$104,C40)</f>
        <v>2</v>
      </c>
    </row>
    <row r="41" spans="1:10">
      <c r="A41" s="11">
        <v>25</v>
      </c>
      <c r="B41" s="4" t="s">
        <v>158</v>
      </c>
      <c r="C41" s="4" t="s">
        <v>198</v>
      </c>
      <c r="D41" s="11">
        <f t="shared" si="0"/>
        <v>2</v>
      </c>
      <c r="E41" s="11">
        <f t="shared" si="1"/>
        <v>3</v>
      </c>
      <c r="F41" s="17">
        <f t="shared" si="2"/>
        <v>1.2500000000000001E-2</v>
      </c>
      <c r="G41" s="17">
        <f t="shared" si="3"/>
        <v>2.5000000000000001E-2</v>
      </c>
      <c r="H41" s="17">
        <f t="shared" si="4"/>
        <v>0.02</v>
      </c>
      <c r="I41" s="17">
        <f t="shared" si="5"/>
        <v>0</v>
      </c>
      <c r="J41" s="13">
        <f>COUNTIF('요리 목록'!$D$5:$D$104,C41)+COUNTIF('요리 목록'!$F$5:$F$104,C41)+COUNTIF('요리 목록'!$H$5:$H$104,C41)</f>
        <v>2</v>
      </c>
    </row>
    <row r="42" spans="1:10">
      <c r="A42" s="11">
        <v>26</v>
      </c>
      <c r="B42" s="4" t="s">
        <v>158</v>
      </c>
      <c r="C42" s="4" t="s">
        <v>199</v>
      </c>
      <c r="D42" s="11">
        <f t="shared" si="0"/>
        <v>2</v>
      </c>
      <c r="E42" s="11">
        <f t="shared" si="1"/>
        <v>3</v>
      </c>
      <c r="F42" s="17">
        <f t="shared" si="2"/>
        <v>1.2500000000000001E-2</v>
      </c>
      <c r="G42" s="17">
        <f t="shared" si="3"/>
        <v>2.5000000000000001E-2</v>
      </c>
      <c r="H42" s="17">
        <f t="shared" si="4"/>
        <v>0.02</v>
      </c>
      <c r="I42" s="17">
        <f t="shared" si="5"/>
        <v>0</v>
      </c>
      <c r="J42" s="13">
        <f>COUNTIF('요리 목록'!$D$5:$D$104,C42)+COUNTIF('요리 목록'!$F$5:$F$104,C42)+COUNTIF('요리 목록'!$H$5:$H$104,C42)</f>
        <v>3</v>
      </c>
    </row>
    <row r="43" spans="1:10">
      <c r="A43" s="11">
        <v>27</v>
      </c>
      <c r="B43" s="4" t="s">
        <v>158</v>
      </c>
      <c r="C43" s="4" t="s">
        <v>200</v>
      </c>
      <c r="D43" s="11">
        <f t="shared" si="0"/>
        <v>2</v>
      </c>
      <c r="E43" s="11">
        <f t="shared" si="1"/>
        <v>3</v>
      </c>
      <c r="F43" s="17">
        <f t="shared" si="2"/>
        <v>1.2500000000000001E-2</v>
      </c>
      <c r="G43" s="17">
        <f t="shared" si="3"/>
        <v>2.5000000000000001E-2</v>
      </c>
      <c r="H43" s="17">
        <f t="shared" si="4"/>
        <v>0.02</v>
      </c>
      <c r="I43" s="17">
        <f t="shared" si="5"/>
        <v>0</v>
      </c>
      <c r="J43" s="13">
        <f>COUNTIF('요리 목록'!$D$5:$D$104,C43)+COUNTIF('요리 목록'!$F$5:$F$104,C43)+COUNTIF('요리 목록'!$H$5:$H$104,C43)</f>
        <v>1</v>
      </c>
    </row>
    <row r="44" spans="1:10">
      <c r="A44" s="11">
        <v>28</v>
      </c>
      <c r="B44" s="4" t="s">
        <v>158</v>
      </c>
      <c r="C44" s="4" t="s">
        <v>201</v>
      </c>
      <c r="D44" s="11">
        <f t="shared" si="0"/>
        <v>2</v>
      </c>
      <c r="E44" s="11">
        <f t="shared" si="1"/>
        <v>3</v>
      </c>
      <c r="F44" s="17">
        <f t="shared" si="2"/>
        <v>1.2500000000000001E-2</v>
      </c>
      <c r="G44" s="17">
        <f t="shared" si="3"/>
        <v>2.5000000000000001E-2</v>
      </c>
      <c r="H44" s="17">
        <f t="shared" si="4"/>
        <v>0.02</v>
      </c>
      <c r="I44" s="17">
        <f t="shared" si="5"/>
        <v>0</v>
      </c>
      <c r="J44" s="13">
        <f>COUNTIF('요리 목록'!$D$5:$D$104,C44)+COUNTIF('요리 목록'!$F$5:$F$104,C44)+COUNTIF('요리 목록'!$H$5:$H$104,C44)</f>
        <v>3</v>
      </c>
    </row>
    <row r="45" spans="1:10">
      <c r="A45" s="11">
        <v>29</v>
      </c>
      <c r="B45" s="4" t="s">
        <v>158</v>
      </c>
      <c r="C45" s="4" t="s">
        <v>202</v>
      </c>
      <c r="D45" s="11">
        <f t="shared" si="0"/>
        <v>2</v>
      </c>
      <c r="E45" s="11">
        <f t="shared" si="1"/>
        <v>3</v>
      </c>
      <c r="F45" s="17">
        <f t="shared" si="2"/>
        <v>1.2500000000000001E-2</v>
      </c>
      <c r="G45" s="17">
        <f t="shared" si="3"/>
        <v>2.5000000000000001E-2</v>
      </c>
      <c r="H45" s="17">
        <f t="shared" si="4"/>
        <v>0.02</v>
      </c>
      <c r="I45" s="17">
        <f t="shared" si="5"/>
        <v>0</v>
      </c>
      <c r="J45" s="13">
        <f>COUNTIF('요리 목록'!$D$5:$D$104,C45)+COUNTIF('요리 목록'!$F$5:$F$104,C45)+COUNTIF('요리 목록'!$H$5:$H$104,C45)</f>
        <v>2</v>
      </c>
    </row>
    <row r="46" spans="1:10">
      <c r="A46" s="11">
        <v>30</v>
      </c>
      <c r="B46" s="4" t="s">
        <v>158</v>
      </c>
      <c r="C46" s="4" t="s">
        <v>203</v>
      </c>
      <c r="D46" s="11">
        <f t="shared" si="0"/>
        <v>2</v>
      </c>
      <c r="E46" s="11">
        <f t="shared" si="1"/>
        <v>3</v>
      </c>
      <c r="F46" s="17">
        <f t="shared" si="2"/>
        <v>1.2500000000000001E-2</v>
      </c>
      <c r="G46" s="17">
        <f t="shared" si="3"/>
        <v>2.5000000000000001E-2</v>
      </c>
      <c r="H46" s="17">
        <f t="shared" si="4"/>
        <v>0.02</v>
      </c>
      <c r="I46" s="17">
        <f t="shared" si="5"/>
        <v>0</v>
      </c>
      <c r="J46" s="13">
        <f>COUNTIF('요리 목록'!$D$5:$D$104,C46)+COUNTIF('요리 목록'!$F$5:$F$104,C46)+COUNTIF('요리 목록'!$H$5:$H$104,C46)</f>
        <v>1</v>
      </c>
    </row>
    <row r="47" spans="1:10">
      <c r="A47" s="11">
        <v>31</v>
      </c>
      <c r="B47" s="4" t="s">
        <v>158</v>
      </c>
      <c r="C47" s="4" t="s">
        <v>204</v>
      </c>
      <c r="D47" s="11">
        <f t="shared" si="0"/>
        <v>2</v>
      </c>
      <c r="E47" s="11">
        <f t="shared" si="1"/>
        <v>3</v>
      </c>
      <c r="F47" s="17">
        <f t="shared" si="2"/>
        <v>1.2500000000000001E-2</v>
      </c>
      <c r="G47" s="17">
        <f t="shared" si="3"/>
        <v>2.5000000000000001E-2</v>
      </c>
      <c r="H47" s="17">
        <f t="shared" si="4"/>
        <v>0.02</v>
      </c>
      <c r="I47" s="17">
        <f t="shared" si="5"/>
        <v>0</v>
      </c>
      <c r="J47" s="13">
        <f>COUNTIF('요리 목록'!$D$5:$D$104,C47)+COUNTIF('요리 목록'!$F$5:$F$104,C47)+COUNTIF('요리 목록'!$H$5:$H$104,C47)</f>
        <v>3</v>
      </c>
    </row>
    <row r="48" spans="1:10">
      <c r="A48" s="11">
        <v>32</v>
      </c>
      <c r="B48" s="4" t="s">
        <v>158</v>
      </c>
      <c r="C48" s="4" t="s">
        <v>205</v>
      </c>
      <c r="D48" s="11">
        <f t="shared" si="0"/>
        <v>2</v>
      </c>
      <c r="E48" s="11">
        <f t="shared" si="1"/>
        <v>3</v>
      </c>
      <c r="F48" s="17">
        <f t="shared" si="2"/>
        <v>1.2500000000000001E-2</v>
      </c>
      <c r="G48" s="17">
        <f t="shared" si="3"/>
        <v>2.5000000000000001E-2</v>
      </c>
      <c r="H48" s="17">
        <f t="shared" si="4"/>
        <v>0.02</v>
      </c>
      <c r="I48" s="17">
        <f t="shared" si="5"/>
        <v>0</v>
      </c>
      <c r="J48" s="13">
        <f>COUNTIF('요리 목록'!$D$5:$D$104,C48)+COUNTIF('요리 목록'!$F$5:$F$104,C48)+COUNTIF('요리 목록'!$H$5:$H$104,C48)</f>
        <v>2</v>
      </c>
    </row>
    <row r="49" spans="1:10">
      <c r="A49" s="11">
        <v>33</v>
      </c>
      <c r="B49" s="4" t="s">
        <v>158</v>
      </c>
      <c r="C49" s="4" t="s">
        <v>206</v>
      </c>
      <c r="D49" s="11">
        <f t="shared" ref="D49:D71" si="6">INDEX($B$11:$B$14,MATCH(B49,$A$11:$A$14,0))</f>
        <v>2</v>
      </c>
      <c r="E49" s="11">
        <f t="shared" ref="E49:E71" si="7">INDEX($C$11:$C$14,MATCH(B49,$A$11:$A$14,0))</f>
        <v>3</v>
      </c>
      <c r="F49" s="17">
        <f t="shared" ref="F49:F71" si="8">INDEX($B$5:$E$5,MATCH($B49,$B$4:$E$4,0))/INDEX($D$11:$D$14,MATCH($B49,$A$11:$A$14,0))</f>
        <v>1.2500000000000001E-2</v>
      </c>
      <c r="G49" s="17">
        <f t="shared" ref="G49:G71" si="9">INDEX($B$6:$E$6,MATCH($B49,$B$4:$E$4,0))/INDEX($D$11:$D$14,MATCH($B49,$A$11:$A$14,0))</f>
        <v>2.5000000000000001E-2</v>
      </c>
      <c r="H49" s="17">
        <f t="shared" ref="H49:H71" si="10">INDEX($B$7:$E$7,MATCH($B49,$B$4:$E$4,0))/INDEX($D$11:$D$14,MATCH($B49,$A$11:$A$14,0))</f>
        <v>0.02</v>
      </c>
      <c r="I49" s="17">
        <f t="shared" ref="I49:I71" si="11">INDEX($B$8:$E$8,MATCH($B49,$B$4:$E$4,0))/INDEX($D$11:$D$14,MATCH($B49,$A$11:$A$14,0))</f>
        <v>0</v>
      </c>
      <c r="J49" s="13">
        <f>COUNTIF('요리 목록'!$D$5:$D$104,C49)+COUNTIF('요리 목록'!$F$5:$F$104,C49)+COUNTIF('요리 목록'!$H$5:$H$104,C49)</f>
        <v>1</v>
      </c>
    </row>
    <row r="50" spans="1:10">
      <c r="A50" s="11">
        <v>34</v>
      </c>
      <c r="B50" s="4" t="s">
        <v>158</v>
      </c>
      <c r="C50" s="4" t="s">
        <v>207</v>
      </c>
      <c r="D50" s="11">
        <f t="shared" si="6"/>
        <v>2</v>
      </c>
      <c r="E50" s="11">
        <f t="shared" si="7"/>
        <v>3</v>
      </c>
      <c r="F50" s="17">
        <f t="shared" si="8"/>
        <v>1.2500000000000001E-2</v>
      </c>
      <c r="G50" s="17">
        <f t="shared" si="9"/>
        <v>2.5000000000000001E-2</v>
      </c>
      <c r="H50" s="17">
        <f t="shared" si="10"/>
        <v>0.02</v>
      </c>
      <c r="I50" s="17">
        <f t="shared" si="11"/>
        <v>0</v>
      </c>
      <c r="J50" s="13">
        <f>COUNTIF('요리 목록'!$D$5:$D$104,C50)+COUNTIF('요리 목록'!$F$5:$F$104,C50)+COUNTIF('요리 목록'!$H$5:$H$104,C50)</f>
        <v>2</v>
      </c>
    </row>
    <row r="51" spans="1:10">
      <c r="A51" s="11">
        <v>35</v>
      </c>
      <c r="B51" s="4" t="s">
        <v>158</v>
      </c>
      <c r="C51" s="4" t="s">
        <v>208</v>
      </c>
      <c r="D51" s="11">
        <f t="shared" si="6"/>
        <v>2</v>
      </c>
      <c r="E51" s="11">
        <f t="shared" si="7"/>
        <v>3</v>
      </c>
      <c r="F51" s="17">
        <f t="shared" si="8"/>
        <v>1.2500000000000001E-2</v>
      </c>
      <c r="G51" s="17">
        <f t="shared" si="9"/>
        <v>2.5000000000000001E-2</v>
      </c>
      <c r="H51" s="17">
        <f t="shared" si="10"/>
        <v>0.02</v>
      </c>
      <c r="I51" s="17">
        <f t="shared" si="11"/>
        <v>0</v>
      </c>
      <c r="J51" s="13">
        <f>COUNTIF('요리 목록'!$D$5:$D$104,C51)+COUNTIF('요리 목록'!$F$5:$F$104,C51)+COUNTIF('요리 목록'!$H$5:$H$104,C51)</f>
        <v>3</v>
      </c>
    </row>
    <row r="52" spans="1:10">
      <c r="A52" s="11">
        <v>36</v>
      </c>
      <c r="B52" s="4" t="s">
        <v>158</v>
      </c>
      <c r="C52" s="4" t="s">
        <v>209</v>
      </c>
      <c r="D52" s="11">
        <f t="shared" si="6"/>
        <v>2</v>
      </c>
      <c r="E52" s="11">
        <f t="shared" si="7"/>
        <v>3</v>
      </c>
      <c r="F52" s="17">
        <f t="shared" si="8"/>
        <v>1.2500000000000001E-2</v>
      </c>
      <c r="G52" s="17">
        <f t="shared" si="9"/>
        <v>2.5000000000000001E-2</v>
      </c>
      <c r="H52" s="17">
        <f t="shared" si="10"/>
        <v>0.02</v>
      </c>
      <c r="I52" s="17">
        <f t="shared" si="11"/>
        <v>0</v>
      </c>
      <c r="J52" s="13">
        <f>COUNTIF('요리 목록'!$D$5:$D$104,C52)+COUNTIF('요리 목록'!$F$5:$F$104,C52)+COUNTIF('요리 목록'!$H$5:$H$104,C52)</f>
        <v>1</v>
      </c>
    </row>
    <row r="53" spans="1:10">
      <c r="A53" s="11">
        <v>37</v>
      </c>
      <c r="B53" s="4" t="s">
        <v>158</v>
      </c>
      <c r="C53" s="4" t="s">
        <v>210</v>
      </c>
      <c r="D53" s="11">
        <f t="shared" si="6"/>
        <v>2</v>
      </c>
      <c r="E53" s="11">
        <f t="shared" si="7"/>
        <v>3</v>
      </c>
      <c r="F53" s="17">
        <f t="shared" si="8"/>
        <v>1.2500000000000001E-2</v>
      </c>
      <c r="G53" s="17">
        <f t="shared" si="9"/>
        <v>2.5000000000000001E-2</v>
      </c>
      <c r="H53" s="17">
        <f t="shared" si="10"/>
        <v>0.02</v>
      </c>
      <c r="I53" s="17">
        <f t="shared" si="11"/>
        <v>0</v>
      </c>
      <c r="J53" s="13">
        <f>COUNTIF('요리 목록'!$D$5:$D$104,C53)+COUNTIF('요리 목록'!$F$5:$F$104,C53)+COUNTIF('요리 목록'!$H$5:$H$104,C53)</f>
        <v>4</v>
      </c>
    </row>
    <row r="54" spans="1:10">
      <c r="A54" s="11">
        <v>38</v>
      </c>
      <c r="B54" s="4" t="s">
        <v>158</v>
      </c>
      <c r="C54" s="4" t="s">
        <v>211</v>
      </c>
      <c r="D54" s="11">
        <f t="shared" si="6"/>
        <v>2</v>
      </c>
      <c r="E54" s="11">
        <f t="shared" si="7"/>
        <v>3</v>
      </c>
      <c r="F54" s="17">
        <f t="shared" si="8"/>
        <v>1.2500000000000001E-2</v>
      </c>
      <c r="G54" s="17">
        <f t="shared" si="9"/>
        <v>2.5000000000000001E-2</v>
      </c>
      <c r="H54" s="17">
        <f t="shared" si="10"/>
        <v>0.02</v>
      </c>
      <c r="I54" s="17">
        <f t="shared" si="11"/>
        <v>0</v>
      </c>
      <c r="J54" s="13">
        <f>COUNTIF('요리 목록'!$D$5:$D$104,C54)+COUNTIF('요리 목록'!$F$5:$F$104,C54)+COUNTIF('요리 목록'!$H$5:$H$104,C54)</f>
        <v>2</v>
      </c>
    </row>
    <row r="55" spans="1:10">
      <c r="A55" s="11">
        <v>39</v>
      </c>
      <c r="B55" s="4" t="s">
        <v>158</v>
      </c>
      <c r="C55" s="4" t="s">
        <v>212</v>
      </c>
      <c r="D55" s="11">
        <f t="shared" si="6"/>
        <v>2</v>
      </c>
      <c r="E55" s="11">
        <f t="shared" si="7"/>
        <v>3</v>
      </c>
      <c r="F55" s="17">
        <f t="shared" si="8"/>
        <v>1.2500000000000001E-2</v>
      </c>
      <c r="G55" s="17">
        <f t="shared" si="9"/>
        <v>2.5000000000000001E-2</v>
      </c>
      <c r="H55" s="17">
        <f t="shared" si="10"/>
        <v>0.02</v>
      </c>
      <c r="I55" s="17">
        <f t="shared" si="11"/>
        <v>0</v>
      </c>
      <c r="J55" s="13">
        <f>COUNTIF('요리 목록'!$D$5:$D$104,C55)+COUNTIF('요리 목록'!$F$5:$F$104,C55)+COUNTIF('요리 목록'!$H$5:$H$104,C55)</f>
        <v>3</v>
      </c>
    </row>
    <row r="56" spans="1:10">
      <c r="A56" s="11">
        <v>40</v>
      </c>
      <c r="B56" s="4" t="s">
        <v>158</v>
      </c>
      <c r="C56" s="4" t="s">
        <v>213</v>
      </c>
      <c r="D56" s="11">
        <f t="shared" si="6"/>
        <v>2</v>
      </c>
      <c r="E56" s="11">
        <f t="shared" si="7"/>
        <v>3</v>
      </c>
      <c r="F56" s="17">
        <f t="shared" si="8"/>
        <v>1.2500000000000001E-2</v>
      </c>
      <c r="G56" s="17">
        <f t="shared" si="9"/>
        <v>2.5000000000000001E-2</v>
      </c>
      <c r="H56" s="17">
        <f t="shared" si="10"/>
        <v>0.02</v>
      </c>
      <c r="I56" s="17">
        <f t="shared" si="11"/>
        <v>0</v>
      </c>
      <c r="J56" s="13">
        <f>COUNTIF('요리 목록'!$D$5:$D$104,C56)+COUNTIF('요리 목록'!$F$5:$F$104,C56)+COUNTIF('요리 목록'!$H$5:$H$104,C56)</f>
        <v>1</v>
      </c>
    </row>
    <row r="57" spans="1:10">
      <c r="A57" s="11">
        <v>41</v>
      </c>
      <c r="B57" s="4" t="s">
        <v>159</v>
      </c>
      <c r="C57" s="4" t="s">
        <v>214</v>
      </c>
      <c r="D57" s="11">
        <f t="shared" si="6"/>
        <v>1</v>
      </c>
      <c r="E57" s="11">
        <f t="shared" si="7"/>
        <v>2</v>
      </c>
      <c r="F57" s="17">
        <f t="shared" si="8"/>
        <v>5.0000000000000001E-3</v>
      </c>
      <c r="G57" s="17">
        <f t="shared" si="9"/>
        <v>0.02</v>
      </c>
      <c r="H57" s="17">
        <f t="shared" si="10"/>
        <v>0.05</v>
      </c>
      <c r="I57" s="17">
        <f t="shared" si="11"/>
        <v>0.05</v>
      </c>
      <c r="J57" s="13">
        <f>COUNTIF('요리 목록'!$D$5:$D$104,C57)+COUNTIF('요리 목록'!$F$5:$F$104,C57)+COUNTIF('요리 목록'!$H$5:$H$104,C57)</f>
        <v>2</v>
      </c>
    </row>
    <row r="58" spans="1:10">
      <c r="A58" s="11">
        <v>42</v>
      </c>
      <c r="B58" s="4" t="s">
        <v>159</v>
      </c>
      <c r="C58" s="4" t="s">
        <v>215</v>
      </c>
      <c r="D58" s="11">
        <f t="shared" si="6"/>
        <v>1</v>
      </c>
      <c r="E58" s="11">
        <f t="shared" si="7"/>
        <v>2</v>
      </c>
      <c r="F58" s="17">
        <f t="shared" si="8"/>
        <v>5.0000000000000001E-3</v>
      </c>
      <c r="G58" s="17">
        <f t="shared" si="9"/>
        <v>0.02</v>
      </c>
      <c r="H58" s="17">
        <f t="shared" si="10"/>
        <v>0.05</v>
      </c>
      <c r="I58" s="17">
        <f t="shared" si="11"/>
        <v>0.05</v>
      </c>
      <c r="J58" s="13">
        <f>COUNTIF('요리 목록'!$D$5:$D$104,C58)+COUNTIF('요리 목록'!$F$5:$F$104,C58)+COUNTIF('요리 목록'!$H$5:$H$104,C58)</f>
        <v>3</v>
      </c>
    </row>
    <row r="59" spans="1:10">
      <c r="A59" s="11">
        <v>43</v>
      </c>
      <c r="B59" s="4" t="s">
        <v>159</v>
      </c>
      <c r="C59" s="4" t="s">
        <v>216</v>
      </c>
      <c r="D59" s="11">
        <f t="shared" si="6"/>
        <v>1</v>
      </c>
      <c r="E59" s="11">
        <f t="shared" si="7"/>
        <v>2</v>
      </c>
      <c r="F59" s="17">
        <f t="shared" si="8"/>
        <v>5.0000000000000001E-3</v>
      </c>
      <c r="G59" s="17">
        <f t="shared" si="9"/>
        <v>0.02</v>
      </c>
      <c r="H59" s="17">
        <f t="shared" si="10"/>
        <v>0.05</v>
      </c>
      <c r="I59" s="17">
        <f t="shared" si="11"/>
        <v>0.05</v>
      </c>
      <c r="J59" s="13">
        <f>COUNTIF('요리 목록'!$D$5:$D$104,C59)+COUNTIF('요리 목록'!$F$5:$F$104,C59)+COUNTIF('요리 목록'!$H$5:$H$104,C59)</f>
        <v>3</v>
      </c>
    </row>
    <row r="60" spans="1:10">
      <c r="A60" s="11">
        <v>44</v>
      </c>
      <c r="B60" s="4" t="s">
        <v>159</v>
      </c>
      <c r="C60" s="4" t="s">
        <v>217</v>
      </c>
      <c r="D60" s="11">
        <f t="shared" si="6"/>
        <v>1</v>
      </c>
      <c r="E60" s="11">
        <f t="shared" si="7"/>
        <v>2</v>
      </c>
      <c r="F60" s="17">
        <f t="shared" si="8"/>
        <v>5.0000000000000001E-3</v>
      </c>
      <c r="G60" s="17">
        <f t="shared" si="9"/>
        <v>0.02</v>
      </c>
      <c r="H60" s="17">
        <f t="shared" si="10"/>
        <v>0.05</v>
      </c>
      <c r="I60" s="17">
        <f t="shared" si="11"/>
        <v>0.05</v>
      </c>
      <c r="J60" s="13">
        <f>COUNTIF('요리 목록'!$D$5:$D$104,C60)+COUNTIF('요리 목록'!$F$5:$F$104,C60)+COUNTIF('요리 목록'!$H$5:$H$104,C60)</f>
        <v>2</v>
      </c>
    </row>
    <row r="61" spans="1:10">
      <c r="A61" s="11">
        <v>45</v>
      </c>
      <c r="B61" s="4" t="s">
        <v>159</v>
      </c>
      <c r="C61" s="4" t="s">
        <v>218</v>
      </c>
      <c r="D61" s="11">
        <f t="shared" si="6"/>
        <v>1</v>
      </c>
      <c r="E61" s="11">
        <f t="shared" si="7"/>
        <v>2</v>
      </c>
      <c r="F61" s="17">
        <f t="shared" si="8"/>
        <v>5.0000000000000001E-3</v>
      </c>
      <c r="G61" s="17">
        <f t="shared" si="9"/>
        <v>0.02</v>
      </c>
      <c r="H61" s="17">
        <f t="shared" si="10"/>
        <v>0.05</v>
      </c>
      <c r="I61" s="17">
        <f t="shared" si="11"/>
        <v>0.05</v>
      </c>
      <c r="J61" s="13">
        <f>COUNTIF('요리 목록'!$D$5:$D$104,C61)+COUNTIF('요리 목록'!$F$5:$F$104,C61)+COUNTIF('요리 목록'!$H$5:$H$104,C61)</f>
        <v>3</v>
      </c>
    </row>
    <row r="62" spans="1:10">
      <c r="A62" s="11">
        <v>46</v>
      </c>
      <c r="B62" s="4" t="s">
        <v>159</v>
      </c>
      <c r="C62" s="4" t="s">
        <v>219</v>
      </c>
      <c r="D62" s="11">
        <f t="shared" si="6"/>
        <v>1</v>
      </c>
      <c r="E62" s="11">
        <f t="shared" si="7"/>
        <v>2</v>
      </c>
      <c r="F62" s="17">
        <f t="shared" si="8"/>
        <v>5.0000000000000001E-3</v>
      </c>
      <c r="G62" s="17">
        <f t="shared" si="9"/>
        <v>0.02</v>
      </c>
      <c r="H62" s="17">
        <f t="shared" si="10"/>
        <v>0.05</v>
      </c>
      <c r="I62" s="17">
        <f t="shared" si="11"/>
        <v>0.05</v>
      </c>
      <c r="J62" s="13">
        <f>COUNTIF('요리 목록'!$D$5:$D$104,C62)+COUNTIF('요리 목록'!$F$5:$F$104,C62)+COUNTIF('요리 목록'!$H$5:$H$104,C62)</f>
        <v>3</v>
      </c>
    </row>
    <row r="63" spans="1:10">
      <c r="A63" s="11">
        <v>47</v>
      </c>
      <c r="B63" s="4" t="s">
        <v>159</v>
      </c>
      <c r="C63" s="4" t="s">
        <v>220</v>
      </c>
      <c r="D63" s="11">
        <f t="shared" si="6"/>
        <v>1</v>
      </c>
      <c r="E63" s="11">
        <f t="shared" si="7"/>
        <v>2</v>
      </c>
      <c r="F63" s="17">
        <f t="shared" si="8"/>
        <v>5.0000000000000001E-3</v>
      </c>
      <c r="G63" s="17">
        <f t="shared" si="9"/>
        <v>0.02</v>
      </c>
      <c r="H63" s="17">
        <f t="shared" si="10"/>
        <v>0.05</v>
      </c>
      <c r="I63" s="17">
        <f t="shared" si="11"/>
        <v>0.05</v>
      </c>
      <c r="J63" s="13">
        <f>COUNTIF('요리 목록'!$D$5:$D$104,C63)+COUNTIF('요리 목록'!$F$5:$F$104,C63)+COUNTIF('요리 목록'!$H$5:$H$104,C63)</f>
        <v>2</v>
      </c>
    </row>
    <row r="64" spans="1:10">
      <c r="A64" s="11">
        <v>48</v>
      </c>
      <c r="B64" s="4" t="s">
        <v>159</v>
      </c>
      <c r="C64" s="4" t="s">
        <v>221</v>
      </c>
      <c r="D64" s="11">
        <f t="shared" si="6"/>
        <v>1</v>
      </c>
      <c r="E64" s="11">
        <f t="shared" si="7"/>
        <v>2</v>
      </c>
      <c r="F64" s="17">
        <f t="shared" si="8"/>
        <v>5.0000000000000001E-3</v>
      </c>
      <c r="G64" s="17">
        <f t="shared" si="9"/>
        <v>0.02</v>
      </c>
      <c r="H64" s="17">
        <f t="shared" si="10"/>
        <v>0.05</v>
      </c>
      <c r="I64" s="17">
        <f t="shared" si="11"/>
        <v>0.05</v>
      </c>
      <c r="J64" s="13">
        <f>COUNTIF('요리 목록'!$D$5:$D$104,C64)+COUNTIF('요리 목록'!$F$5:$F$104,C64)+COUNTIF('요리 목록'!$H$5:$H$104,C64)</f>
        <v>2</v>
      </c>
    </row>
    <row r="65" spans="1:10">
      <c r="A65" s="11">
        <v>49</v>
      </c>
      <c r="B65" s="4" t="s">
        <v>159</v>
      </c>
      <c r="C65" s="4" t="s">
        <v>222</v>
      </c>
      <c r="D65" s="11">
        <f t="shared" si="6"/>
        <v>1</v>
      </c>
      <c r="E65" s="11">
        <f t="shared" si="7"/>
        <v>2</v>
      </c>
      <c r="F65" s="17">
        <f t="shared" si="8"/>
        <v>5.0000000000000001E-3</v>
      </c>
      <c r="G65" s="17">
        <f t="shared" si="9"/>
        <v>0.02</v>
      </c>
      <c r="H65" s="17">
        <f t="shared" si="10"/>
        <v>0.05</v>
      </c>
      <c r="I65" s="17">
        <f t="shared" si="11"/>
        <v>0.05</v>
      </c>
      <c r="J65" s="13">
        <f>COUNTIF('요리 목록'!$D$5:$D$104,C65)+COUNTIF('요리 목록'!$F$5:$F$104,C65)+COUNTIF('요리 목록'!$H$5:$H$104,C65)</f>
        <v>2</v>
      </c>
    </row>
    <row r="66" spans="1:10">
      <c r="A66" s="11">
        <v>50</v>
      </c>
      <c r="B66" s="4" t="s">
        <v>159</v>
      </c>
      <c r="C66" s="4" t="s">
        <v>223</v>
      </c>
      <c r="D66" s="11">
        <f t="shared" si="6"/>
        <v>1</v>
      </c>
      <c r="E66" s="11">
        <f t="shared" si="7"/>
        <v>2</v>
      </c>
      <c r="F66" s="17">
        <f t="shared" si="8"/>
        <v>5.0000000000000001E-3</v>
      </c>
      <c r="G66" s="17">
        <f t="shared" si="9"/>
        <v>0.02</v>
      </c>
      <c r="H66" s="17">
        <f t="shared" si="10"/>
        <v>0.05</v>
      </c>
      <c r="I66" s="17">
        <f t="shared" si="11"/>
        <v>0.05</v>
      </c>
      <c r="J66" s="13">
        <f>COUNTIF('요리 목록'!$D$5:$D$104,C66)+COUNTIF('요리 목록'!$F$5:$F$104,C66)+COUNTIF('요리 목록'!$H$5:$H$104,C66)</f>
        <v>2</v>
      </c>
    </row>
    <row r="67" spans="1:10">
      <c r="A67" s="11">
        <v>51</v>
      </c>
      <c r="B67" s="4" t="s">
        <v>160</v>
      </c>
      <c r="C67" s="4" t="s">
        <v>224</v>
      </c>
      <c r="D67" s="11">
        <f t="shared" si="6"/>
        <v>1</v>
      </c>
      <c r="E67" s="11">
        <f t="shared" si="7"/>
        <v>1</v>
      </c>
      <c r="F67" s="17">
        <f t="shared" si="8"/>
        <v>0</v>
      </c>
      <c r="G67" s="17">
        <f t="shared" si="9"/>
        <v>0</v>
      </c>
      <c r="H67" s="17">
        <f t="shared" si="10"/>
        <v>0.01</v>
      </c>
      <c r="I67" s="17">
        <f t="shared" si="11"/>
        <v>0.1</v>
      </c>
      <c r="J67" s="13">
        <f>COUNTIF('요리 목록'!$D$5:$D$104,C67)+COUNTIF('요리 목록'!$F$5:$F$104,C67)+COUNTIF('요리 목록'!$H$5:$H$104,C67)</f>
        <v>2</v>
      </c>
    </row>
    <row r="68" spans="1:10">
      <c r="A68" s="11">
        <v>52</v>
      </c>
      <c r="B68" s="4" t="s">
        <v>160</v>
      </c>
      <c r="C68" s="4" t="s">
        <v>225</v>
      </c>
      <c r="D68" s="11">
        <f t="shared" si="6"/>
        <v>1</v>
      </c>
      <c r="E68" s="11">
        <f t="shared" si="7"/>
        <v>1</v>
      </c>
      <c r="F68" s="17">
        <f t="shared" si="8"/>
        <v>0</v>
      </c>
      <c r="G68" s="17">
        <f t="shared" si="9"/>
        <v>0</v>
      </c>
      <c r="H68" s="17">
        <f t="shared" si="10"/>
        <v>0.01</v>
      </c>
      <c r="I68" s="17">
        <f t="shared" si="11"/>
        <v>0.1</v>
      </c>
      <c r="J68" s="13">
        <f>COUNTIF('요리 목록'!$D$5:$D$104,C68)+COUNTIF('요리 목록'!$F$5:$F$104,C68)+COUNTIF('요리 목록'!$H$5:$H$104,C68)</f>
        <v>2</v>
      </c>
    </row>
    <row r="69" spans="1:10">
      <c r="A69" s="11">
        <v>53</v>
      </c>
      <c r="B69" s="4" t="s">
        <v>160</v>
      </c>
      <c r="C69" s="4" t="s">
        <v>226</v>
      </c>
      <c r="D69" s="11">
        <f t="shared" si="6"/>
        <v>1</v>
      </c>
      <c r="E69" s="11">
        <f t="shared" si="7"/>
        <v>1</v>
      </c>
      <c r="F69" s="17">
        <f t="shared" si="8"/>
        <v>0</v>
      </c>
      <c r="G69" s="17">
        <f t="shared" si="9"/>
        <v>0</v>
      </c>
      <c r="H69" s="17">
        <f t="shared" si="10"/>
        <v>0.01</v>
      </c>
      <c r="I69" s="17">
        <f t="shared" si="11"/>
        <v>0.1</v>
      </c>
      <c r="J69" s="13">
        <f>COUNTIF('요리 목록'!$D$5:$D$104,C69)+COUNTIF('요리 목록'!$F$5:$F$104,C69)+COUNTIF('요리 목록'!$H$5:$H$104,C69)</f>
        <v>2</v>
      </c>
    </row>
    <row r="70" spans="1:10">
      <c r="A70" s="11">
        <v>54</v>
      </c>
      <c r="B70" s="4" t="s">
        <v>160</v>
      </c>
      <c r="C70" s="4" t="s">
        <v>227</v>
      </c>
      <c r="D70" s="11">
        <f t="shared" si="6"/>
        <v>1</v>
      </c>
      <c r="E70" s="11">
        <f t="shared" si="7"/>
        <v>1</v>
      </c>
      <c r="F70" s="17">
        <f t="shared" si="8"/>
        <v>0</v>
      </c>
      <c r="G70" s="17">
        <f t="shared" si="9"/>
        <v>0</v>
      </c>
      <c r="H70" s="17">
        <f t="shared" si="10"/>
        <v>0.01</v>
      </c>
      <c r="I70" s="17">
        <f t="shared" si="11"/>
        <v>0.1</v>
      </c>
      <c r="J70" s="13">
        <f>COUNTIF('요리 목록'!$D$5:$D$104,C70)+COUNTIF('요리 목록'!$F$5:$F$104,C70)+COUNTIF('요리 목록'!$H$5:$H$104,C70)</f>
        <v>2</v>
      </c>
    </row>
    <row r="71" spans="1:10">
      <c r="A71" s="11">
        <v>55</v>
      </c>
      <c r="B71" s="4" t="s">
        <v>160</v>
      </c>
      <c r="C71" s="4" t="s">
        <v>228</v>
      </c>
      <c r="D71" s="11">
        <f t="shared" si="6"/>
        <v>1</v>
      </c>
      <c r="E71" s="11">
        <f t="shared" si="7"/>
        <v>1</v>
      </c>
      <c r="F71" s="17">
        <f t="shared" si="8"/>
        <v>0</v>
      </c>
      <c r="G71" s="17">
        <f t="shared" si="9"/>
        <v>0</v>
      </c>
      <c r="H71" s="17">
        <f t="shared" si="10"/>
        <v>0.01</v>
      </c>
      <c r="I71" s="17">
        <f t="shared" si="11"/>
        <v>0.1</v>
      </c>
      <c r="J71" s="13">
        <f>COUNTIF('요리 목록'!$D$5:$D$104,C71)+COUNTIF('요리 목록'!$F$5:$F$104,C71)+COUNTIF('요리 목록'!$H$5:$H$104,C71)</f>
        <v>2</v>
      </c>
    </row>
    <row r="73" spans="1:10">
      <c r="A73" s="2" t="s">
        <v>229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4"/>
  <sheetViews>
    <sheetView showGridLines="0" workbookViewId="0"/>
  </sheetViews>
  <sheetFormatPr defaultRowHeight="16.5"/>
  <cols>
    <col min="1" max="1" width="30" customWidth="1"/>
    <col min="2" max="3" width="10" customWidth="1"/>
    <col min="4" max="4" width="12" customWidth="1"/>
    <col min="5" max="7" width="4" customWidth="1"/>
    <col min="8" max="8" width="8" customWidth="1"/>
    <col min="9" max="12" width="10" customWidth="1"/>
  </cols>
  <sheetData>
    <row r="1" spans="1:12" ht="20.25">
      <c r="A1" s="1" t="s">
        <v>64</v>
      </c>
    </row>
    <row r="2" spans="1:12">
      <c r="A2" s="2" t="s">
        <v>230</v>
      </c>
    </row>
    <row r="4" spans="1:12">
      <c r="A4" s="8" t="s">
        <v>10</v>
      </c>
      <c r="B4" s="8" t="s">
        <v>101</v>
      </c>
      <c r="H4" s="8" t="s">
        <v>231</v>
      </c>
      <c r="I4" s="8" t="s">
        <v>232</v>
      </c>
      <c r="J4" s="8" t="s">
        <v>233</v>
      </c>
      <c r="K4" s="8" t="s">
        <v>234</v>
      </c>
      <c r="L4" s="8" t="s">
        <v>235</v>
      </c>
    </row>
    <row r="5" spans="1:12">
      <c r="A5" s="6" t="s">
        <v>236</v>
      </c>
      <c r="B5" s="10">
        <v>30</v>
      </c>
      <c r="H5" s="11">
        <v>1</v>
      </c>
      <c r="I5" s="18">
        <f t="shared" ref="I5:I36" si="0">IF(H5&lt;=$B$5,1,EXP(-((H5-$B$5)^2)/(2*$B$6^2)))</f>
        <v>1</v>
      </c>
      <c r="J5" s="20">
        <f t="shared" ref="J5:J36" si="1">I5/SUM($I$5:$I$104)</f>
        <v>1.5046964447905679E-2</v>
      </c>
      <c r="K5" s="15">
        <f>SUM($J$5:J5)</f>
        <v>1.5046964447905679E-2</v>
      </c>
      <c r="L5" s="15">
        <f t="shared" ref="L5:L36" si="2">1-K5+J5</f>
        <v>1</v>
      </c>
    </row>
    <row r="6" spans="1:12">
      <c r="A6" s="6" t="s">
        <v>237</v>
      </c>
      <c r="B6" s="21">
        <v>30.06</v>
      </c>
      <c r="H6" s="11">
        <v>2</v>
      </c>
      <c r="I6" s="18">
        <f t="shared" si="0"/>
        <v>1</v>
      </c>
      <c r="J6" s="20">
        <f t="shared" si="1"/>
        <v>1.5046964447905679E-2</v>
      </c>
      <c r="K6" s="15">
        <f>SUM($J$5:J6)</f>
        <v>3.0093928895811358E-2</v>
      </c>
      <c r="L6" s="15">
        <f t="shared" si="2"/>
        <v>0.98495303555209435</v>
      </c>
    </row>
    <row r="7" spans="1:12">
      <c r="A7" s="6" t="s">
        <v>238</v>
      </c>
      <c r="B7" s="22">
        <v>1E-3</v>
      </c>
      <c r="H7" s="11">
        <v>3</v>
      </c>
      <c r="I7" s="18">
        <f t="shared" si="0"/>
        <v>1</v>
      </c>
      <c r="J7" s="20">
        <f t="shared" si="1"/>
        <v>1.5046964447905679E-2</v>
      </c>
      <c r="K7" s="15">
        <f>SUM($J$5:J7)</f>
        <v>4.5140893343717035E-2</v>
      </c>
      <c r="L7" s="15">
        <f t="shared" si="2"/>
        <v>0.96990607110418858</v>
      </c>
    </row>
    <row r="8" spans="1:12">
      <c r="A8" s="6" t="s">
        <v>239</v>
      </c>
      <c r="B8" s="20">
        <f>J104</f>
        <v>9.9981037791196459E-4</v>
      </c>
      <c r="H8" s="11">
        <v>4</v>
      </c>
      <c r="I8" s="18">
        <f t="shared" si="0"/>
        <v>1</v>
      </c>
      <c r="J8" s="20">
        <f t="shared" si="1"/>
        <v>1.5046964447905679E-2</v>
      </c>
      <c r="K8" s="15">
        <f>SUM($J$5:J8)</f>
        <v>6.0187857791622716E-2</v>
      </c>
      <c r="L8" s="15">
        <f t="shared" si="2"/>
        <v>0.95485910665628293</v>
      </c>
    </row>
    <row r="9" spans="1:12">
      <c r="A9" s="6" t="s">
        <v>240</v>
      </c>
      <c r="B9" s="23">
        <f>B8-B7</f>
        <v>-1.8962208803543004E-7</v>
      </c>
      <c r="H9" s="11">
        <v>5</v>
      </c>
      <c r="I9" s="18">
        <f t="shared" si="0"/>
        <v>1</v>
      </c>
      <c r="J9" s="20">
        <f t="shared" si="1"/>
        <v>1.5046964447905679E-2</v>
      </c>
      <c r="K9" s="15">
        <f>SUM($J$5:J9)</f>
        <v>7.523482223952839E-2</v>
      </c>
      <c r="L9" s="15">
        <f t="shared" si="2"/>
        <v>0.93981214220837728</v>
      </c>
    </row>
    <row r="10" spans="1:12">
      <c r="A10" s="6" t="s">
        <v>241</v>
      </c>
      <c r="B10" s="16">
        <f>SUMPRODUCT(H5:H104,J5:J104)</f>
        <v>36.181000341395304</v>
      </c>
      <c r="H10" s="11">
        <v>6</v>
      </c>
      <c r="I10" s="18">
        <f t="shared" si="0"/>
        <v>1</v>
      </c>
      <c r="J10" s="20">
        <f t="shared" si="1"/>
        <v>1.5046964447905679E-2</v>
      </c>
      <c r="K10" s="15">
        <f>SUM($J$5:J10)</f>
        <v>9.0281786687434071E-2</v>
      </c>
      <c r="L10" s="15">
        <f t="shared" si="2"/>
        <v>0.92476517776047162</v>
      </c>
    </row>
    <row r="11" spans="1:12">
      <c r="A11" s="6" t="s">
        <v>242</v>
      </c>
      <c r="B11" s="15">
        <f>K34</f>
        <v>0.45140893343717003</v>
      </c>
      <c r="H11" s="11">
        <v>7</v>
      </c>
      <c r="I11" s="18">
        <f t="shared" si="0"/>
        <v>1</v>
      </c>
      <c r="J11" s="20">
        <f t="shared" si="1"/>
        <v>1.5046964447905679E-2</v>
      </c>
      <c r="K11" s="15">
        <f>SUM($J$5:J11)</f>
        <v>0.10532875113533975</v>
      </c>
      <c r="L11" s="15">
        <f t="shared" si="2"/>
        <v>0.90971821331256586</v>
      </c>
    </row>
    <row r="12" spans="1:12">
      <c r="A12" s="6" t="s">
        <v>243</v>
      </c>
      <c r="B12" s="15">
        <f>L54</f>
        <v>0.28203025481928767</v>
      </c>
      <c r="H12" s="11">
        <v>8</v>
      </c>
      <c r="I12" s="18">
        <f t="shared" si="0"/>
        <v>1</v>
      </c>
      <c r="J12" s="20">
        <f t="shared" si="1"/>
        <v>1.5046964447905679E-2</v>
      </c>
      <c r="K12" s="15">
        <f>SUM($J$5:J12)</f>
        <v>0.12037571558324543</v>
      </c>
      <c r="L12" s="15">
        <f t="shared" si="2"/>
        <v>0.89467124886466021</v>
      </c>
    </row>
    <row r="13" spans="1:12">
      <c r="A13" s="6" t="s">
        <v>244</v>
      </c>
      <c r="B13" s="15">
        <f>L74</f>
        <v>9.6261697208670532E-2</v>
      </c>
      <c r="H13" s="11">
        <v>9</v>
      </c>
      <c r="I13" s="18">
        <f t="shared" si="0"/>
        <v>1</v>
      </c>
      <c r="J13" s="20">
        <f t="shared" si="1"/>
        <v>1.5046964447905679E-2</v>
      </c>
      <c r="K13" s="15">
        <f>SUM($J$5:J13)</f>
        <v>0.1354226800311511</v>
      </c>
      <c r="L13" s="15">
        <f t="shared" si="2"/>
        <v>0.87962428441675455</v>
      </c>
    </row>
    <row r="14" spans="1:12">
      <c r="A14" s="6" t="s">
        <v>245</v>
      </c>
      <c r="B14" s="15">
        <f>L94</f>
        <v>1.6302470505169159E-2</v>
      </c>
      <c r="H14" s="11">
        <v>10</v>
      </c>
      <c r="I14" s="18">
        <f t="shared" si="0"/>
        <v>1</v>
      </c>
      <c r="J14" s="20">
        <f t="shared" si="1"/>
        <v>1.5046964447905679E-2</v>
      </c>
      <c r="K14" s="15">
        <f>SUM($J$5:J14)</f>
        <v>0.15046964447905678</v>
      </c>
      <c r="L14" s="15">
        <f t="shared" si="2"/>
        <v>0.8645773199688489</v>
      </c>
    </row>
    <row r="15" spans="1:12">
      <c r="H15" s="11">
        <v>11</v>
      </c>
      <c r="I15" s="18">
        <f t="shared" si="0"/>
        <v>1</v>
      </c>
      <c r="J15" s="20">
        <f t="shared" si="1"/>
        <v>1.5046964447905679E-2</v>
      </c>
      <c r="K15" s="15">
        <f>SUM($J$5:J15)</f>
        <v>0.16551660892696246</v>
      </c>
      <c r="L15" s="15">
        <f t="shared" si="2"/>
        <v>0.84953035552094325</v>
      </c>
    </row>
    <row r="16" spans="1:12">
      <c r="A16" s="8" t="s">
        <v>246</v>
      </c>
      <c r="B16" s="8" t="s">
        <v>247</v>
      </c>
      <c r="C16" s="8" t="s">
        <v>248</v>
      </c>
      <c r="D16" s="8" t="s">
        <v>249</v>
      </c>
      <c r="H16" s="11">
        <v>12</v>
      </c>
      <c r="I16" s="18">
        <f t="shared" si="0"/>
        <v>1</v>
      </c>
      <c r="J16" s="20">
        <f t="shared" si="1"/>
        <v>1.5046964447905679E-2</v>
      </c>
      <c r="K16" s="15">
        <f>SUM($J$5:J16)</f>
        <v>0.18056357337486814</v>
      </c>
      <c r="L16" s="15">
        <f t="shared" si="2"/>
        <v>0.83448339107303748</v>
      </c>
    </row>
    <row r="17" spans="1:12">
      <c r="A17" s="6" t="s">
        <v>250</v>
      </c>
      <c r="B17" s="10">
        <v>8</v>
      </c>
      <c r="C17" s="15">
        <f>INDEX($K$5:$K$104,B17)</f>
        <v>0.12037571558324543</v>
      </c>
      <c r="D17" s="17">
        <f>C17^2</f>
        <v>1.4490312902178398E-2</v>
      </c>
      <c r="H17" s="11">
        <v>13</v>
      </c>
      <c r="I17" s="18">
        <f t="shared" si="0"/>
        <v>1</v>
      </c>
      <c r="J17" s="20">
        <f t="shared" si="1"/>
        <v>1.5046964447905679E-2</v>
      </c>
      <c r="K17" s="15">
        <f>SUM($J$5:J17)</f>
        <v>0.19561053782277382</v>
      </c>
      <c r="L17" s="15">
        <f t="shared" si="2"/>
        <v>0.81943642662513183</v>
      </c>
    </row>
    <row r="18" spans="1:12">
      <c r="A18" s="6" t="s">
        <v>251</v>
      </c>
      <c r="B18" s="10">
        <v>16</v>
      </c>
      <c r="C18" s="15">
        <f>INDEX($K$5:$K$104,B18)</f>
        <v>0.24075143116649086</v>
      </c>
      <c r="D18" s="17">
        <f>C18^2</f>
        <v>5.7961251608713592E-2</v>
      </c>
      <c r="H18" s="11">
        <v>14</v>
      </c>
      <c r="I18" s="18">
        <f t="shared" si="0"/>
        <v>1</v>
      </c>
      <c r="J18" s="20">
        <f t="shared" si="1"/>
        <v>1.5046964447905679E-2</v>
      </c>
      <c r="K18" s="15">
        <f>SUM($J$5:J18)</f>
        <v>0.2106575022706795</v>
      </c>
      <c r="L18" s="15">
        <f t="shared" si="2"/>
        <v>0.80438946217722618</v>
      </c>
    </row>
    <row r="19" spans="1:12">
      <c r="H19" s="11">
        <v>15</v>
      </c>
      <c r="I19" s="18">
        <f t="shared" si="0"/>
        <v>1</v>
      </c>
      <c r="J19" s="20">
        <f t="shared" si="1"/>
        <v>1.5046964447905679E-2</v>
      </c>
      <c r="K19" s="15">
        <f>SUM($J$5:J19)</f>
        <v>0.22570446671858518</v>
      </c>
      <c r="L19" s="15">
        <f t="shared" si="2"/>
        <v>0.78934249772932041</v>
      </c>
    </row>
    <row r="20" spans="1:12">
      <c r="A20" s="8" t="s">
        <v>252</v>
      </c>
      <c r="B20" s="8" t="s">
        <v>253</v>
      </c>
      <c r="C20" s="8" t="s">
        <v>254</v>
      </c>
      <c r="D20" s="8" t="s">
        <v>107</v>
      </c>
      <c r="H20" s="11">
        <v>16</v>
      </c>
      <c r="I20" s="18">
        <f t="shared" si="0"/>
        <v>1</v>
      </c>
      <c r="J20" s="20">
        <f t="shared" si="1"/>
        <v>1.5046964447905679E-2</v>
      </c>
      <c r="K20" s="15">
        <f>SUM($J$5:J20)</f>
        <v>0.24075143116649086</v>
      </c>
      <c r="L20" s="15">
        <f t="shared" si="2"/>
        <v>0.77429553328141476</v>
      </c>
    </row>
    <row r="21" spans="1:12">
      <c r="A21" s="6" t="s">
        <v>255</v>
      </c>
      <c r="B21" s="11">
        <v>1</v>
      </c>
      <c r="C21" s="11">
        <v>10</v>
      </c>
      <c r="D21" s="15">
        <f t="shared" ref="D21:D30" si="3">SUMIFS($J$5:$J$104,$H$5:$H$104,"&gt;="&amp;B21,$H$5:$H$104,"&lt;="&amp;C21)</f>
        <v>0.15046964447905678</v>
      </c>
      <c r="H21" s="11">
        <v>17</v>
      </c>
      <c r="I21" s="18">
        <f t="shared" si="0"/>
        <v>1</v>
      </c>
      <c r="J21" s="20">
        <f t="shared" si="1"/>
        <v>1.5046964447905679E-2</v>
      </c>
      <c r="K21" s="15">
        <f>SUM($J$5:J21)</f>
        <v>0.25579839561439655</v>
      </c>
      <c r="L21" s="15">
        <f t="shared" si="2"/>
        <v>0.75924856883350911</v>
      </c>
    </row>
    <row r="22" spans="1:12">
      <c r="A22" s="6" t="s">
        <v>256</v>
      </c>
      <c r="B22" s="11">
        <v>11</v>
      </c>
      <c r="C22" s="11">
        <v>20</v>
      </c>
      <c r="D22" s="15">
        <f t="shared" si="3"/>
        <v>0.15046964447905678</v>
      </c>
      <c r="H22" s="11">
        <v>18</v>
      </c>
      <c r="I22" s="18">
        <f t="shared" si="0"/>
        <v>1</v>
      </c>
      <c r="J22" s="20">
        <f t="shared" si="1"/>
        <v>1.5046964447905679E-2</v>
      </c>
      <c r="K22" s="15">
        <f>SUM($J$5:J22)</f>
        <v>0.2708453600623022</v>
      </c>
      <c r="L22" s="15">
        <f t="shared" si="2"/>
        <v>0.74420160438560345</v>
      </c>
    </row>
    <row r="23" spans="1:12">
      <c r="A23" s="6" t="s">
        <v>257</v>
      </c>
      <c r="B23" s="11">
        <v>21</v>
      </c>
      <c r="C23" s="11">
        <v>30</v>
      </c>
      <c r="D23" s="15">
        <f t="shared" si="3"/>
        <v>0.15046964447905678</v>
      </c>
      <c r="H23" s="11">
        <v>19</v>
      </c>
      <c r="I23" s="18">
        <f t="shared" si="0"/>
        <v>1</v>
      </c>
      <c r="J23" s="20">
        <f t="shared" si="1"/>
        <v>1.5046964447905679E-2</v>
      </c>
      <c r="K23" s="15">
        <f>SUM($J$5:J23)</f>
        <v>0.28589232451020785</v>
      </c>
      <c r="L23" s="15">
        <f t="shared" si="2"/>
        <v>0.7291546399376978</v>
      </c>
    </row>
    <row r="24" spans="1:12">
      <c r="A24" s="6" t="s">
        <v>258</v>
      </c>
      <c r="B24" s="11">
        <v>31</v>
      </c>
      <c r="C24" s="11">
        <v>40</v>
      </c>
      <c r="D24" s="15">
        <f t="shared" si="3"/>
        <v>0.14732162668392529</v>
      </c>
      <c r="H24" s="11">
        <v>20</v>
      </c>
      <c r="I24" s="18">
        <f t="shared" si="0"/>
        <v>1</v>
      </c>
      <c r="J24" s="20">
        <f t="shared" si="1"/>
        <v>1.5046964447905679E-2</v>
      </c>
      <c r="K24" s="15">
        <f>SUM($J$5:J24)</f>
        <v>0.3009392889581135</v>
      </c>
      <c r="L24" s="15">
        <f t="shared" si="2"/>
        <v>0.71410767548979215</v>
      </c>
    </row>
    <row r="25" spans="1:12">
      <c r="A25" s="6" t="s">
        <v>259</v>
      </c>
      <c r="B25" s="11">
        <v>41</v>
      </c>
      <c r="C25" s="11">
        <v>50</v>
      </c>
      <c r="D25" s="15">
        <f t="shared" si="3"/>
        <v>0.131298534908455</v>
      </c>
      <c r="H25" s="11">
        <v>21</v>
      </c>
      <c r="I25" s="18">
        <f t="shared" si="0"/>
        <v>1</v>
      </c>
      <c r="J25" s="20">
        <f t="shared" si="1"/>
        <v>1.5046964447905679E-2</v>
      </c>
      <c r="K25" s="15">
        <f>SUM($J$5:J25)</f>
        <v>0.31598625340601916</v>
      </c>
      <c r="L25" s="15">
        <f t="shared" si="2"/>
        <v>0.6990607110418865</v>
      </c>
    </row>
    <row r="26" spans="1:12">
      <c r="A26" s="6" t="s">
        <v>260</v>
      </c>
      <c r="B26" s="11">
        <v>51</v>
      </c>
      <c r="C26" s="11">
        <v>60</v>
      </c>
      <c r="D26" s="15">
        <f t="shared" si="3"/>
        <v>0.10486421951245736</v>
      </c>
      <c r="H26" s="11">
        <v>22</v>
      </c>
      <c r="I26" s="18">
        <f t="shared" si="0"/>
        <v>1</v>
      </c>
      <c r="J26" s="20">
        <f t="shared" si="1"/>
        <v>1.5046964447905679E-2</v>
      </c>
      <c r="K26" s="15">
        <f>SUM($J$5:J26)</f>
        <v>0.33103321785392481</v>
      </c>
      <c r="L26" s="15">
        <f t="shared" si="2"/>
        <v>0.68401374659398084</v>
      </c>
    </row>
    <row r="27" spans="1:12">
      <c r="A27" s="6" t="s">
        <v>261</v>
      </c>
      <c r="B27" s="11">
        <v>61</v>
      </c>
      <c r="C27" s="11">
        <v>70</v>
      </c>
      <c r="D27" s="15">
        <f t="shared" si="3"/>
        <v>7.5052948012487297E-2</v>
      </c>
      <c r="H27" s="11">
        <v>23</v>
      </c>
      <c r="I27" s="18">
        <f t="shared" si="0"/>
        <v>1</v>
      </c>
      <c r="J27" s="20">
        <f t="shared" si="1"/>
        <v>1.5046964447905679E-2</v>
      </c>
      <c r="K27" s="15">
        <f>SUM($J$5:J27)</f>
        <v>0.34608018230183046</v>
      </c>
      <c r="L27" s="15">
        <f t="shared" si="2"/>
        <v>0.66896678214607519</v>
      </c>
    </row>
    <row r="28" spans="1:12">
      <c r="A28" s="6" t="s">
        <v>262</v>
      </c>
      <c r="B28" s="11">
        <v>71</v>
      </c>
      <c r="C28" s="11">
        <v>80</v>
      </c>
      <c r="D28" s="15">
        <f t="shared" si="3"/>
        <v>4.8137057285289477E-2</v>
      </c>
      <c r="H28" s="11">
        <v>24</v>
      </c>
      <c r="I28" s="18">
        <f t="shared" si="0"/>
        <v>1</v>
      </c>
      <c r="J28" s="20">
        <f t="shared" si="1"/>
        <v>1.5046964447905679E-2</v>
      </c>
      <c r="K28" s="15">
        <f>SUM($J$5:J28)</f>
        <v>0.36112714674973612</v>
      </c>
      <c r="L28" s="15">
        <f t="shared" si="2"/>
        <v>0.65391981769816954</v>
      </c>
    </row>
    <row r="29" spans="1:12">
      <c r="A29" s="6" t="s">
        <v>263</v>
      </c>
      <c r="B29" s="11">
        <v>81</v>
      </c>
      <c r="C29" s="11">
        <v>90</v>
      </c>
      <c r="D29" s="15">
        <f t="shared" si="3"/>
        <v>2.7666902136300967E-2</v>
      </c>
      <c r="H29" s="11">
        <v>25</v>
      </c>
      <c r="I29" s="18">
        <f t="shared" si="0"/>
        <v>1</v>
      </c>
      <c r="J29" s="20">
        <f t="shared" si="1"/>
        <v>1.5046964447905679E-2</v>
      </c>
      <c r="K29" s="15">
        <f>SUM($J$5:J29)</f>
        <v>0.37617411119764177</v>
      </c>
      <c r="L29" s="15">
        <f t="shared" si="2"/>
        <v>0.63887285325026388</v>
      </c>
    </row>
    <row r="30" spans="1:12">
      <c r="A30" s="6" t="s">
        <v>264</v>
      </c>
      <c r="B30" s="11">
        <v>91</v>
      </c>
      <c r="C30" s="11">
        <v>100</v>
      </c>
      <c r="D30" s="15">
        <f t="shared" si="3"/>
        <v>1.4249778023914673E-2</v>
      </c>
      <c r="H30" s="11">
        <v>26</v>
      </c>
      <c r="I30" s="18">
        <f t="shared" si="0"/>
        <v>1</v>
      </c>
      <c r="J30" s="20">
        <f t="shared" si="1"/>
        <v>1.5046964447905679E-2</v>
      </c>
      <c r="K30" s="15">
        <f>SUM($J$5:J30)</f>
        <v>0.39122107564554742</v>
      </c>
      <c r="L30" s="15">
        <f t="shared" si="2"/>
        <v>0.62382588880235823</v>
      </c>
    </row>
    <row r="31" spans="1:12">
      <c r="A31" s="6" t="s">
        <v>161</v>
      </c>
      <c r="D31" s="15">
        <f>SUM(D21:D30)</f>
        <v>1.0000000000000004</v>
      </c>
      <c r="H31" s="11">
        <v>27</v>
      </c>
      <c r="I31" s="18">
        <f t="shared" si="0"/>
        <v>1</v>
      </c>
      <c r="J31" s="20">
        <f t="shared" si="1"/>
        <v>1.5046964447905679E-2</v>
      </c>
      <c r="K31" s="15">
        <f>SUM($J$5:J31)</f>
        <v>0.40626804009345308</v>
      </c>
      <c r="L31" s="15">
        <f t="shared" si="2"/>
        <v>0.60877892435445258</v>
      </c>
    </row>
    <row r="32" spans="1:12">
      <c r="H32" s="11">
        <v>28</v>
      </c>
      <c r="I32" s="18">
        <f t="shared" si="0"/>
        <v>1</v>
      </c>
      <c r="J32" s="20">
        <f t="shared" si="1"/>
        <v>1.5046964447905679E-2</v>
      </c>
      <c r="K32" s="15">
        <f>SUM($J$5:J32)</f>
        <v>0.42131500454135873</v>
      </c>
      <c r="L32" s="15">
        <f t="shared" si="2"/>
        <v>0.59373195990654692</v>
      </c>
    </row>
    <row r="33" spans="8:12">
      <c r="H33" s="11">
        <v>29</v>
      </c>
      <c r="I33" s="18">
        <f t="shared" si="0"/>
        <v>1</v>
      </c>
      <c r="J33" s="20">
        <f t="shared" si="1"/>
        <v>1.5046964447905679E-2</v>
      </c>
      <c r="K33" s="15">
        <f>SUM($J$5:J33)</f>
        <v>0.43636196898926438</v>
      </c>
      <c r="L33" s="15">
        <f t="shared" si="2"/>
        <v>0.57868499545864127</v>
      </c>
    </row>
    <row r="34" spans="8:12">
      <c r="H34" s="11">
        <v>30</v>
      </c>
      <c r="I34" s="18">
        <f t="shared" si="0"/>
        <v>1</v>
      </c>
      <c r="J34" s="20">
        <f t="shared" si="1"/>
        <v>1.5046964447905679E-2</v>
      </c>
      <c r="K34" s="15">
        <f>SUM($J$5:J34)</f>
        <v>0.45140893343717003</v>
      </c>
      <c r="L34" s="15">
        <f t="shared" si="2"/>
        <v>0.56363803101073562</v>
      </c>
    </row>
    <row r="35" spans="8:12">
      <c r="H35" s="11">
        <v>31</v>
      </c>
      <c r="I35" s="18">
        <f t="shared" si="0"/>
        <v>0.99944681308206795</v>
      </c>
      <c r="J35" s="20">
        <f t="shared" si="1"/>
        <v>1.5038640664018509E-2</v>
      </c>
      <c r="K35" s="15">
        <f>SUM($J$5:J35)</f>
        <v>0.46644757410118853</v>
      </c>
      <c r="L35" s="15">
        <f t="shared" si="2"/>
        <v>0.54859106656282997</v>
      </c>
    </row>
    <row r="36" spans="8:12">
      <c r="H36" s="11">
        <v>32</v>
      </c>
      <c r="I36" s="18">
        <f t="shared" si="0"/>
        <v>0.99778908774582664</v>
      </c>
      <c r="J36" s="20">
        <f t="shared" si="1"/>
        <v>1.5013696929819693E-2</v>
      </c>
      <c r="K36" s="15">
        <f>SUM($J$5:J36)</f>
        <v>0.48146127103100822</v>
      </c>
      <c r="L36" s="15">
        <f t="shared" si="2"/>
        <v>0.53355242589881147</v>
      </c>
    </row>
    <row r="37" spans="8:12">
      <c r="H37" s="11">
        <v>33</v>
      </c>
      <c r="I37" s="18">
        <f t="shared" ref="I37:I68" si="4">IF(H37&lt;=$B$5,1,EXP(-((H37-$B$5)^2)/(2*$B$6^2)))</f>
        <v>0.99503232009813714</v>
      </c>
      <c r="J37" s="20">
        <f t="shared" ref="J37:J68" si="5">I37/SUM($I$5:$I$104)</f>
        <v>1.4972215945033772E-2</v>
      </c>
      <c r="K37" s="15">
        <f>SUM($J$5:J37)</f>
        <v>0.496433486976042</v>
      </c>
      <c r="L37" s="15">
        <f t="shared" ref="L37:L68" si="6">1-K37+J37</f>
        <v>0.51853872896899167</v>
      </c>
    </row>
    <row r="38" spans="8:12">
      <c r="H38" s="11">
        <v>34</v>
      </c>
      <c r="I38" s="18">
        <f t="shared" si="4"/>
        <v>0.99118563657624192</v>
      </c>
      <c r="J38" s="20">
        <f t="shared" si="5"/>
        <v>1.4914335034837471E-2</v>
      </c>
      <c r="K38" s="15">
        <f>SUM($J$5:J38)</f>
        <v>0.51134782201087947</v>
      </c>
      <c r="L38" s="15">
        <f t="shared" si="6"/>
        <v>0.50356651302395805</v>
      </c>
    </row>
    <row r="39" spans="8:12">
      <c r="H39" s="11">
        <v>35</v>
      </c>
      <c r="I39" s="18">
        <f t="shared" si="4"/>
        <v>0.98626174361040697</v>
      </c>
      <c r="J39" s="20">
        <f t="shared" si="5"/>
        <v>1.484024539243526E-2</v>
      </c>
      <c r="K39" s="15">
        <f>SUM($J$5:J39)</f>
        <v>0.5261880674033147</v>
      </c>
      <c r="L39" s="15">
        <f t="shared" si="6"/>
        <v>0.48865217798912058</v>
      </c>
    </row>
    <row r="40" spans="8:12">
      <c r="H40" s="11">
        <v>36</v>
      </c>
      <c r="I40" s="18">
        <f t="shared" si="4"/>
        <v>0.98027685769667783</v>
      </c>
      <c r="J40" s="20">
        <f t="shared" si="5"/>
        <v>1.4750191026866605E-2</v>
      </c>
      <c r="K40" s="15">
        <f>SUM($J$5:J40)</f>
        <v>0.54093825843018128</v>
      </c>
      <c r="L40" s="15">
        <f t="shared" si="6"/>
        <v>0.4738119325966853</v>
      </c>
    </row>
    <row r="41" spans="8:12">
      <c r="H41" s="11">
        <v>37</v>
      </c>
      <c r="I41" s="18">
        <f t="shared" si="4"/>
        <v>0.97325061641831201</v>
      </c>
      <c r="J41" s="20">
        <f t="shared" si="5"/>
        <v>1.4644467424148627E-2</v>
      </c>
      <c r="K41" s="15">
        <f>SUM($J$5:J41)</f>
        <v>0.55558272585432988</v>
      </c>
      <c r="L41" s="15">
        <f t="shared" si="6"/>
        <v>0.45906174156981872</v>
      </c>
    </row>
    <row r="42" spans="8:12">
      <c r="H42" s="11">
        <v>38</v>
      </c>
      <c r="I42" s="18">
        <f t="shared" si="4"/>
        <v>0.96520597109912643</v>
      </c>
      <c r="J42" s="20">
        <f t="shared" si="5"/>
        <v>1.4523419932034832E-2</v>
      </c>
      <c r="K42" s="15">
        <f>SUM($J$5:J42)</f>
        <v>0.57010614578636476</v>
      </c>
      <c r="L42" s="15">
        <f t="shared" si="6"/>
        <v>0.44441727414567006</v>
      </c>
    </row>
    <row r="43" spans="8:12">
      <c r="H43" s="11">
        <v>39</v>
      </c>
      <c r="I43" s="18">
        <f t="shared" si="4"/>
        <v>0.95616906190993567</v>
      </c>
      <c r="J43" s="20">
        <f t="shared" si="5"/>
        <v>1.4387441880746126E-2</v>
      </c>
      <c r="K43" s="15">
        <f>SUM($J$5:J43)</f>
        <v>0.5844935876671109</v>
      </c>
      <c r="L43" s="15">
        <f t="shared" si="6"/>
        <v>0.42989385421363524</v>
      </c>
    </row>
    <row r="44" spans="8:12">
      <c r="H44" s="11">
        <v>40</v>
      </c>
      <c r="I44" s="18">
        <f t="shared" si="4"/>
        <v>0.94616907637912206</v>
      </c>
      <c r="J44" s="20">
        <f t="shared" si="5"/>
        <v>1.4236972453984403E-2</v>
      </c>
      <c r="K44" s="15">
        <f>SUM($J$5:J44)</f>
        <v>0.59873056012109527</v>
      </c>
      <c r="L44" s="15">
        <f t="shared" si="6"/>
        <v>0.41550641233288915</v>
      </c>
    </row>
    <row r="45" spans="8:12">
      <c r="H45" s="11">
        <v>41</v>
      </c>
      <c r="I45" s="18">
        <f t="shared" si="4"/>
        <v>0.93523809237893152</v>
      </c>
      <c r="J45" s="20">
        <f t="shared" si="5"/>
        <v>1.407249432635291E-2</v>
      </c>
      <c r="K45" s="15">
        <f>SUM($J$5:J45)</f>
        <v>0.6128030544474482</v>
      </c>
      <c r="L45" s="15">
        <f t="shared" si="6"/>
        <v>0.40126943987890473</v>
      </c>
    </row>
    <row r="46" spans="8:12">
      <c r="H46" s="11">
        <v>42</v>
      </c>
      <c r="I46" s="18">
        <f t="shared" si="4"/>
        <v>0.92341090676922077</v>
      </c>
      <c r="J46" s="20">
        <f t="shared" si="5"/>
        <v>1.3894531084964811E-2</v>
      </c>
      <c r="K46" s="15">
        <f>SUM($J$5:J46)</f>
        <v>0.62669758553241306</v>
      </c>
      <c r="L46" s="15">
        <f t="shared" si="6"/>
        <v>0.38719694555255174</v>
      </c>
    </row>
    <row r="47" spans="8:12">
      <c r="H47" s="11">
        <v>43</v>
      </c>
      <c r="I47" s="18">
        <f t="shared" si="4"/>
        <v>0.91072485097907863</v>
      </c>
      <c r="J47" s="20">
        <f t="shared" si="5"/>
        <v>1.3703644454506394E-2</v>
      </c>
      <c r="K47" s="15">
        <f>SUM($J$5:J47)</f>
        <v>0.64040122998691951</v>
      </c>
      <c r="L47" s="15">
        <f t="shared" si="6"/>
        <v>0.37330241446758688</v>
      </c>
    </row>
    <row r="48" spans="8:12">
      <c r="H48" s="11">
        <v>44</v>
      </c>
      <c r="I48" s="18">
        <f t="shared" si="4"/>
        <v>0.89721959489315462</v>
      </c>
      <c r="J48" s="20">
        <f t="shared" si="5"/>
        <v>1.3500431346321633E-2</v>
      </c>
      <c r="K48" s="15">
        <f>SUM($J$5:J48)</f>
        <v>0.65390166133324112</v>
      </c>
      <c r="L48" s="15">
        <f t="shared" si="6"/>
        <v>0.35959877001308049</v>
      </c>
    </row>
    <row r="49" spans="8:12">
      <c r="H49" s="11">
        <v>45</v>
      </c>
      <c r="I49" s="18">
        <f t="shared" si="4"/>
        <v>0.88293694048292892</v>
      </c>
      <c r="J49" s="20">
        <f t="shared" si="5"/>
        <v>1.3285520753189244E-2</v>
      </c>
      <c r="K49" s="15">
        <f>SUM($J$5:J49)</f>
        <v>0.66718718208643035</v>
      </c>
      <c r="L49" s="15">
        <f t="shared" si="6"/>
        <v>0.34609833866675888</v>
      </c>
    </row>
    <row r="50" spans="8:12">
      <c r="H50" s="11">
        <v>46</v>
      </c>
      <c r="I50" s="18">
        <f t="shared" si="4"/>
        <v>0.8679206066829771</v>
      </c>
      <c r="J50" s="20">
        <f t="shared" si="5"/>
        <v>1.3059570512363484E-2</v>
      </c>
      <c r="K50" s="15">
        <f>SUM($J$5:J50)</f>
        <v>0.68024675259879386</v>
      </c>
      <c r="L50" s="15">
        <f t="shared" si="6"/>
        <v>0.33281281791356965</v>
      </c>
    </row>
    <row r="51" spans="8:12">
      <c r="H51" s="11">
        <v>47</v>
      </c>
      <c r="I51" s="18">
        <f t="shared" si="4"/>
        <v>0.85221600705811706</v>
      </c>
      <c r="J51" s="20">
        <f t="shared" si="5"/>
        <v>1.2823263960139622E-2</v>
      </c>
      <c r="K51" s="15">
        <f>SUM($J$5:J51)</f>
        <v>0.69307001655893352</v>
      </c>
      <c r="L51" s="15">
        <f t="shared" si="6"/>
        <v>0.31975324740120609</v>
      </c>
    </row>
    <row r="52" spans="8:12">
      <c r="H52" s="11">
        <v>48</v>
      </c>
      <c r="I52" s="18">
        <f t="shared" si="4"/>
        <v>0.83587002183891368</v>
      </c>
      <c r="J52" s="20">
        <f t="shared" si="5"/>
        <v>1.2577306501680277E-2</v>
      </c>
      <c r="K52" s="15">
        <f>SUM($J$5:J52)</f>
        <v>0.70564732306061384</v>
      </c>
      <c r="L52" s="15">
        <f t="shared" si="6"/>
        <v>0.30692998344106642</v>
      </c>
    </row>
    <row r="53" spans="8:12">
      <c r="H53" s="11">
        <v>49</v>
      </c>
      <c r="I53" s="18">
        <f t="shared" si="4"/>
        <v>0.81893076592027025</v>
      </c>
      <c r="J53" s="20">
        <f t="shared" si="5"/>
        <v>1.2322422120098474E-2</v>
      </c>
      <c r="K53" s="15">
        <f>SUM($J$5:J53)</f>
        <v>0.71796974518071233</v>
      </c>
      <c r="L53" s="15">
        <f t="shared" si="6"/>
        <v>0.29435267693938616</v>
      </c>
    </row>
    <row r="54" spans="8:12">
      <c r="H54" s="11">
        <v>50</v>
      </c>
      <c r="I54" s="18">
        <f t="shared" si="4"/>
        <v>0.80144735442082005</v>
      </c>
      <c r="J54" s="20">
        <f t="shared" si="5"/>
        <v>1.2059349848838141E-2</v>
      </c>
      <c r="K54" s="15">
        <f>SUM($J$5:J54)</f>
        <v>0.73002909502955049</v>
      </c>
      <c r="L54" s="15">
        <f t="shared" si="6"/>
        <v>0.28203025481928767</v>
      </c>
    </row>
    <row r="55" spans="8:12">
      <c r="H55" s="11">
        <v>51</v>
      </c>
      <c r="I55" s="18">
        <f t="shared" si="4"/>
        <v>0.78346966738976653</v>
      </c>
      <c r="J55" s="20">
        <f t="shared" si="5"/>
        <v>1.1788840231226304E-2</v>
      </c>
      <c r="K55" s="15">
        <f>SUM($J$5:J55)</f>
        <v>0.74181793526077677</v>
      </c>
      <c r="L55" s="15">
        <f t="shared" si="6"/>
        <v>0.26997090497044951</v>
      </c>
    </row>
    <row r="56" spans="8:12">
      <c r="H56" s="11">
        <v>52</v>
      </c>
      <c r="I56" s="18">
        <f t="shared" si="4"/>
        <v>0.76504811522307559</v>
      </c>
      <c r="J56" s="20">
        <f t="shared" si="5"/>
        <v>1.1511651790698865E-2</v>
      </c>
      <c r="K56" s="15">
        <f>SUM($J$5:J56)</f>
        <v>0.75332958705147568</v>
      </c>
      <c r="L56" s="15">
        <f t="shared" si="6"/>
        <v>0.25818206473922317</v>
      </c>
    </row>
    <row r="57" spans="8:12">
      <c r="H57" s="11">
        <v>53</v>
      </c>
      <c r="I57" s="18">
        <f t="shared" si="4"/>
        <v>0.74623340631301704</v>
      </c>
      <c r="J57" s="20">
        <f t="shared" si="5"/>
        <v>1.1228547534631522E-2</v>
      </c>
      <c r="K57" s="15">
        <f>SUM($J$5:J57)</f>
        <v>0.76455813458610722</v>
      </c>
      <c r="L57" s="15">
        <f t="shared" si="6"/>
        <v>0.24667041294852429</v>
      </c>
    </row>
    <row r="58" spans="8:12">
      <c r="H58" s="11">
        <v>54</v>
      </c>
      <c r="I58" s="18">
        <f t="shared" si="4"/>
        <v>0.72707631840462328</v>
      </c>
      <c r="J58" s="20">
        <f t="shared" si="5"/>
        <v>1.0940291513948515E-2</v>
      </c>
      <c r="K58" s="15">
        <f>SUM($J$5:J58)</f>
        <v>0.7754984261000557</v>
      </c>
      <c r="L58" s="15">
        <f t="shared" si="6"/>
        <v>0.23544186541389281</v>
      </c>
    </row>
    <row r="59" spans="8:12">
      <c r="H59" s="11">
        <v>55</v>
      </c>
      <c r="I59" s="18">
        <f t="shared" si="4"/>
        <v>0.70762747507045642</v>
      </c>
      <c r="J59" s="20">
        <f t="shared" si="5"/>
        <v>1.064764545974642E-2</v>
      </c>
      <c r="K59" s="15">
        <f>SUM($J$5:J59)</f>
        <v>0.7861460715598021</v>
      </c>
      <c r="L59" s="15">
        <f t="shared" si="6"/>
        <v>0.22450157389994432</v>
      </c>
    </row>
    <row r="60" spans="8:12">
      <c r="H60" s="11">
        <v>56</v>
      </c>
      <c r="I60" s="18">
        <f t="shared" si="4"/>
        <v>0.68793712864203482</v>
      </c>
      <c r="J60" s="20">
        <f t="shared" si="5"/>
        <v>1.0351365517071014E-2</v>
      </c>
      <c r="K60" s="15">
        <f>SUM($J$5:J60)</f>
        <v>0.79649743707687315</v>
      </c>
      <c r="L60" s="15">
        <f t="shared" si="6"/>
        <v>0.21385392844019788</v>
      </c>
    </row>
    <row r="61" spans="8:12">
      <c r="H61" s="11">
        <v>57</v>
      </c>
      <c r="I61" s="18">
        <f t="shared" si="4"/>
        <v>0.66805495085332967</v>
      </c>
      <c r="J61" s="20">
        <f t="shared" si="5"/>
        <v>1.0052199094737427E-2</v>
      </c>
      <c r="K61" s="15">
        <f>SUM($J$5:J61)</f>
        <v>0.80654963617161057</v>
      </c>
      <c r="L61" s="15">
        <f t="shared" si="6"/>
        <v>0.20350256292312685</v>
      </c>
    </row>
    <row r="62" spans="8:12">
      <c r="H62" s="11">
        <v>58</v>
      </c>
      <c r="I62" s="18">
        <f t="shared" si="4"/>
        <v>0.64802983235998957</v>
      </c>
      <c r="J62" s="20">
        <f t="shared" si="5"/>
        <v>9.7508818487030396E-3</v>
      </c>
      <c r="K62" s="15">
        <f>SUM($J$5:J62)</f>
        <v>0.81630051802031356</v>
      </c>
      <c r="L62" s="15">
        <f t="shared" si="6"/>
        <v>0.19345036382838948</v>
      </c>
    </row>
    <row r="63" spans="8:12">
      <c r="H63" s="11">
        <v>59</v>
      </c>
      <c r="I63" s="18">
        <f t="shared" si="4"/>
        <v>0.62790969219848825</v>
      </c>
      <c r="J63" s="20">
        <f t="shared" si="5"/>
        <v>9.4481348150060509E-3</v>
      </c>
      <c r="K63" s="15">
        <f>SUM($J$5:J63)</f>
        <v>0.82574865283531962</v>
      </c>
      <c r="L63" s="15">
        <f t="shared" si="6"/>
        <v>0.18369948197968644</v>
      </c>
    </row>
    <row r="64" spans="8:12">
      <c r="H64" s="11">
        <v>60</v>
      </c>
      <c r="I64" s="18">
        <f t="shared" si="4"/>
        <v>0.60774129814342936</v>
      </c>
      <c r="J64" s="20">
        <f t="shared" si="5"/>
        <v>9.1446617066882271E-3</v>
      </c>
      <c r="K64" s="15">
        <f>SUM($J$5:J64)</f>
        <v>0.83489331454200788</v>
      </c>
      <c r="L64" s="15">
        <f t="shared" si="6"/>
        <v>0.17425134716468035</v>
      </c>
    </row>
    <row r="65" spans="8:12">
      <c r="H65" s="11">
        <v>61</v>
      </c>
      <c r="I65" s="18">
        <f t="shared" si="4"/>
        <v>0.58757009880998601</v>
      </c>
      <c r="J65" s="20">
        <f t="shared" si="5"/>
        <v>8.8411463874462862E-3</v>
      </c>
      <c r="K65" s="15">
        <f>SUM($J$5:J65)</f>
        <v>0.84373446092945414</v>
      </c>
      <c r="L65" s="15">
        <f t="shared" si="6"/>
        <v>0.16510668545799215</v>
      </c>
    </row>
    <row r="66" spans="8:12">
      <c r="H66" s="11">
        <v>62</v>
      </c>
      <c r="I66" s="18">
        <f t="shared" si="4"/>
        <v>0.56744006823315929</v>
      </c>
      <c r="J66" s="20">
        <f t="shared" si="5"/>
        <v>8.53825053302152E-3</v>
      </c>
      <c r="K66" s="15">
        <f>SUM($J$5:J66)</f>
        <v>0.85227271146247563</v>
      </c>
      <c r="L66" s="15">
        <f t="shared" si="6"/>
        <v>0.15626553907054588</v>
      </c>
    </row>
    <row r="67" spans="8:12">
      <c r="H67" s="11">
        <v>63</v>
      </c>
      <c r="I67" s="18">
        <f t="shared" si="4"/>
        <v>0.54739356353745494</v>
      </c>
      <c r="J67" s="20">
        <f t="shared" si="5"/>
        <v>8.2366114895604838E-3</v>
      </c>
      <c r="K67" s="15">
        <f>SUM($J$5:J67)</f>
        <v>0.86050932295203608</v>
      </c>
      <c r="L67" s="15">
        <f t="shared" si="6"/>
        <v>0.1477272885375244</v>
      </c>
    </row>
    <row r="68" spans="8:12">
      <c r="H68" s="11">
        <v>64</v>
      </c>
      <c r="I68" s="18">
        <f t="shared" si="4"/>
        <v>0.52747119619094529</v>
      </c>
      <c r="J68" s="20">
        <f t="shared" si="5"/>
        <v>7.9368403363794353E-3</v>
      </c>
      <c r="K68" s="15">
        <f>SUM($J$5:J68)</f>
        <v>0.86844616328841551</v>
      </c>
      <c r="L68" s="15">
        <f t="shared" si="6"/>
        <v>0.13949067704796392</v>
      </c>
    </row>
    <row r="69" spans="8:12">
      <c r="H69" s="11">
        <v>65</v>
      </c>
      <c r="I69" s="18">
        <f t="shared" ref="I69:I100" si="7">IF(H69&lt;=$B$5,1,EXP(-((H69-$B$5)^2)/(2*$B$6^2)))</f>
        <v>0.50771171721772723</v>
      </c>
      <c r="J69" s="20">
        <f t="shared" ref="J69:J100" si="8">I69/SUM($I$5:$I$104)</f>
        <v>7.639520158760283E-3</v>
      </c>
      <c r="K69" s="15">
        <f>SUM($J$5:J69)</f>
        <v>0.87608568344717574</v>
      </c>
      <c r="L69" s="15">
        <f t="shared" ref="L69:L100" si="9">1-K69+J69</f>
        <v>0.13155383671158455</v>
      </c>
    </row>
    <row r="70" spans="8:12">
      <c r="H70" s="11">
        <v>66</v>
      </c>
      <c r="I70" s="18">
        <f t="shared" si="7"/>
        <v>0.48815191662368784</v>
      </c>
      <c r="J70" s="20">
        <f t="shared" si="8"/>
        <v>7.3452045346136478E-3</v>
      </c>
      <c r="K70" s="15">
        <f>SUM($J$5:J70)</f>
        <v>0.88343088798178937</v>
      </c>
      <c r="L70" s="15">
        <f t="shared" si="9"/>
        <v>0.12391431655282428</v>
      </c>
    </row>
    <row r="71" spans="8:12">
      <c r="H71" s="11">
        <v>67</v>
      </c>
      <c r="I71" s="18">
        <f t="shared" si="7"/>
        <v>0.46882653717337969</v>
      </c>
      <c r="J71" s="20">
        <f t="shared" si="8"/>
        <v>7.054416237082574E-3</v>
      </c>
      <c r="K71" s="15">
        <f>SUM($J$5:J71)</f>
        <v>0.89048530421887195</v>
      </c>
      <c r="L71" s="15">
        <f t="shared" si="9"/>
        <v>0.11656911201821062</v>
      </c>
    </row>
    <row r="72" spans="8:12">
      <c r="H72" s="11">
        <v>68</v>
      </c>
      <c r="I72" s="18">
        <f t="shared" si="7"/>
        <v>0.44976820254176397</v>
      </c>
      <c r="J72" s="20">
        <f t="shared" si="8"/>
        <v>6.7676461534443635E-3</v>
      </c>
      <c r="K72" s="15">
        <f>SUM($J$5:J72)</f>
        <v>0.89725295037231634</v>
      </c>
      <c r="L72" s="15">
        <f t="shared" si="9"/>
        <v>0.10951469578112802</v>
      </c>
    </row>
    <row r="73" spans="8:12">
      <c r="H73" s="11">
        <v>69</v>
      </c>
      <c r="I73" s="18">
        <f t="shared" si="7"/>
        <v>0.43100735975459675</v>
      </c>
      <c r="J73" s="20">
        <f t="shared" si="8"/>
        <v>6.4853524190131105E-3</v>
      </c>
      <c r="K73" s="15">
        <f>SUM($J$5:J73)</f>
        <v>0.9037383027913295</v>
      </c>
      <c r="L73" s="15">
        <f t="shared" si="9"/>
        <v>0.10274704962768362</v>
      </c>
    </row>
    <row r="74" spans="8:12">
      <c r="H74" s="11">
        <v>70</v>
      </c>
      <c r="I74" s="18">
        <f t="shared" si="7"/>
        <v>0.41257223572623364</v>
      </c>
      <c r="J74" s="20">
        <f t="shared" si="8"/>
        <v>6.2079597631655992E-3</v>
      </c>
      <c r="K74" s="15">
        <f>SUM($J$5:J74)</f>
        <v>0.90994626255449507</v>
      </c>
      <c r="L74" s="15">
        <f t="shared" si="9"/>
        <v>9.6261697208670532E-2</v>
      </c>
    </row>
    <row r="75" spans="8:12">
      <c r="H75" s="11">
        <v>71</v>
      </c>
      <c r="I75" s="18">
        <f t="shared" si="7"/>
        <v>0.39448880760443772</v>
      </c>
      <c r="J75" s="20">
        <f t="shared" si="8"/>
        <v>5.9358590631206779E-3</v>
      </c>
      <c r="K75" s="15">
        <f>SUM($J$5:J75)</f>
        <v>0.91588212161761573</v>
      </c>
      <c r="L75" s="15">
        <f t="shared" si="9"/>
        <v>9.0053737445504947E-2</v>
      </c>
    </row>
    <row r="76" spans="8:12">
      <c r="H76" s="11">
        <v>72</v>
      </c>
      <c r="I76" s="18">
        <f t="shared" si="7"/>
        <v>0.37678078653912961</v>
      </c>
      <c r="J76" s="20">
        <f t="shared" si="8"/>
        <v>5.6694070997082222E-3</v>
      </c>
      <c r="K76" s="15">
        <f>SUM($J$5:J76)</f>
        <v>0.92155152871732393</v>
      </c>
      <c r="L76" s="15">
        <f t="shared" si="9"/>
        <v>8.4117878382384298E-2</v>
      </c>
    </row>
    <row r="77" spans="8:12">
      <c r="H77" s="11">
        <v>73</v>
      </c>
      <c r="I77" s="18">
        <f t="shared" si="7"/>
        <v>0.35946961440654973</v>
      </c>
      <c r="J77" s="20">
        <f t="shared" si="8"/>
        <v>5.4089265080777167E-3</v>
      </c>
      <c r="K77" s="15">
        <f>SUM($J$5:J77)</f>
        <v>0.9269604552254016</v>
      </c>
      <c r="L77" s="15">
        <f t="shared" si="9"/>
        <v>7.844847128267611E-2</v>
      </c>
    </row>
    <row r="78" spans="8:12">
      <c r="H78" s="11">
        <v>74</v>
      </c>
      <c r="I78" s="18">
        <f t="shared" si="7"/>
        <v>0.34257447294253712</v>
      </c>
      <c r="J78" s="20">
        <f t="shared" si="8"/>
        <v>5.1547059151263817E-3</v>
      </c>
      <c r="K78" s="15">
        <f>SUM($J$5:J78)</f>
        <v>0.93211516114052795</v>
      </c>
      <c r="L78" s="15">
        <f t="shared" si="9"/>
        <v>7.3039544774598439E-2</v>
      </c>
    </row>
    <row r="79" spans="8:12">
      <c r="H79" s="11">
        <v>75</v>
      </c>
      <c r="I79" s="18">
        <f t="shared" si="7"/>
        <v>0.32611230466899643</v>
      </c>
      <c r="J79" s="20">
        <f t="shared" si="8"/>
        <v>4.9070002543789744E-3</v>
      </c>
      <c r="K79" s="15">
        <f>SUM($J$5:J79)</f>
        <v>0.93702216139490691</v>
      </c>
      <c r="L79" s="15">
        <f t="shared" si="9"/>
        <v>6.7884838859472066E-2</v>
      </c>
    </row>
    <row r="80" spans="8:12">
      <c r="H80" s="11">
        <v>76</v>
      </c>
      <c r="I80" s="18">
        <f t="shared" si="7"/>
        <v>0.310097844936433</v>
      </c>
      <c r="J80" s="20">
        <f t="shared" si="8"/>
        <v>4.666031248130675E-3</v>
      </c>
      <c r="K80" s="15">
        <f>SUM($J$5:J80)</f>
        <v>0.9416881926430376</v>
      </c>
      <c r="L80" s="15">
        <f t="shared" si="9"/>
        <v>6.2977838605093067E-2</v>
      </c>
    </row>
    <row r="81" spans="8:12">
      <c r="H81" s="11">
        <v>77</v>
      </c>
      <c r="I81" s="18">
        <f t="shared" si="7"/>
        <v>0.29454366435289975</v>
      </c>
      <c r="J81" s="20">
        <f t="shared" si="8"/>
        <v>4.4319880458739457E-3</v>
      </c>
      <c r="K81" s="15">
        <f>SUM($J$5:J81)</f>
        <v>0.94612018068891157</v>
      </c>
      <c r="L81" s="15">
        <f t="shared" si="9"/>
        <v>5.8311807356962377E-2</v>
      </c>
    </row>
    <row r="82" spans="8:12">
      <c r="H82" s="11">
        <v>78</v>
      </c>
      <c r="I82" s="18">
        <f t="shared" si="7"/>
        <v>0.27946022082593636</v>
      </c>
      <c r="J82" s="20">
        <f t="shared" si="8"/>
        <v>4.2050280073717347E-3</v>
      </c>
      <c r="K82" s="15">
        <f>SUM($J$5:J82)</f>
        <v>0.95032520869628334</v>
      </c>
      <c r="L82" s="15">
        <f t="shared" si="9"/>
        <v>5.3879819311088394E-2</v>
      </c>
    </row>
    <row r="83" spans="8:12">
      <c r="H83" s="11">
        <v>79</v>
      </c>
      <c r="I83" s="18">
        <f t="shared" si="7"/>
        <v>0.26485592040907679</v>
      </c>
      <c r="J83" s="20">
        <f t="shared" si="8"/>
        <v>3.9852776182127143E-3</v>
      </c>
      <c r="K83" s="15">
        <f>SUM($J$5:J83)</f>
        <v>0.95431048631449611</v>
      </c>
      <c r="L83" s="15">
        <f t="shared" si="9"/>
        <v>4.9674791303716603E-2</v>
      </c>
    </row>
    <row r="84" spans="8:12">
      <c r="H84" s="11">
        <v>80</v>
      </c>
      <c r="I84" s="18">
        <f t="shared" si="7"/>
        <v>0.25073718611819817</v>
      </c>
      <c r="J84" s="20">
        <f t="shared" si="8"/>
        <v>3.7728335252884371E-3</v>
      </c>
      <c r="K84" s="15">
        <f>SUM($J$5:J84)</f>
        <v>0.95808331983978456</v>
      </c>
      <c r="L84" s="15">
        <f t="shared" si="9"/>
        <v>4.568951368550387E-2</v>
      </c>
    </row>
    <row r="85" spans="8:12">
      <c r="H85" s="11">
        <v>81</v>
      </c>
      <c r="I85" s="18">
        <f t="shared" si="7"/>
        <v>0.2371085338651808</v>
      </c>
      <c r="J85" s="20">
        <f t="shared" si="8"/>
        <v>3.5677636793644153E-3</v>
      </c>
      <c r="K85" s="15">
        <f>SUM($J$5:J85)</f>
        <v>0.96165108351914896</v>
      </c>
      <c r="L85" s="15">
        <f t="shared" si="9"/>
        <v>4.191668016021545E-2</v>
      </c>
    </row>
    <row r="86" spans="8:12">
      <c r="H86" s="11">
        <v>82</v>
      </c>
      <c r="I86" s="18">
        <f t="shared" si="7"/>
        <v>0.22397265464680485</v>
      </c>
      <c r="J86" s="20">
        <f t="shared" si="8"/>
        <v>3.3701085717735293E-3</v>
      </c>
      <c r="K86" s="15">
        <f>SUM($J$5:J86)</f>
        <v>0.96502119209092252</v>
      </c>
      <c r="L86" s="15">
        <f t="shared" si="9"/>
        <v>3.8348916480851009E-2</v>
      </c>
    </row>
    <row r="87" spans="8:12">
      <c r="H87" s="11">
        <v>83</v>
      </c>
      <c r="I87" s="18">
        <f t="shared" si="7"/>
        <v>0.21133050212517962</v>
      </c>
      <c r="J87" s="20">
        <f t="shared" si="8"/>
        <v>3.1798825522356333E-3</v>
      </c>
      <c r="K87" s="15">
        <f>SUM($J$5:J87)</f>
        <v>0.96820107464315819</v>
      </c>
      <c r="L87" s="15">
        <f t="shared" si="9"/>
        <v>3.4978807909077446E-2</v>
      </c>
    </row>
    <row r="88" spans="8:12">
      <c r="H88" s="11">
        <v>84</v>
      </c>
      <c r="I88" s="18">
        <f t="shared" si="7"/>
        <v>0.19918138474188896</v>
      </c>
      <c r="J88" s="20">
        <f t="shared" si="8"/>
        <v>2.9970752148958256E-3</v>
      </c>
      <c r="K88" s="15">
        <f>SUM($J$5:J88)</f>
        <v>0.97119814985805397</v>
      </c>
      <c r="L88" s="15">
        <f t="shared" si="9"/>
        <v>3.1798925356841853E-2</v>
      </c>
    </row>
    <row r="89" spans="8:12">
      <c r="H89" s="11">
        <v>85</v>
      </c>
      <c r="I89" s="18">
        <f t="shared" si="7"/>
        <v>0.1875230615209808</v>
      </c>
      <c r="J89" s="20">
        <f t="shared" si="8"/>
        <v>2.8216528398686278E-3</v>
      </c>
      <c r="K89" s="15">
        <f>SUM($J$5:J89)</f>
        <v>0.97401980269792265</v>
      </c>
      <c r="L89" s="15">
        <f t="shared" si="9"/>
        <v>2.8801850141945973E-2</v>
      </c>
    </row>
    <row r="90" spans="8:12">
      <c r="H90" s="11">
        <v>86</v>
      </c>
      <c r="I90" s="18">
        <f t="shared" si="7"/>
        <v>0.1763518407354131</v>
      </c>
      <c r="J90" s="20">
        <f t="shared" si="8"/>
        <v>2.6535598778684856E-3</v>
      </c>
      <c r="K90" s="15">
        <f>SUM($J$5:J90)</f>
        <v>0.97667336257579118</v>
      </c>
      <c r="L90" s="15">
        <f t="shared" si="9"/>
        <v>2.5980197302077304E-2</v>
      </c>
    </row>
    <row r="91" spans="8:12">
      <c r="H91" s="11">
        <v>87</v>
      </c>
      <c r="I91" s="18">
        <f t="shared" si="7"/>
        <v>0.16566268063704481</v>
      </c>
      <c r="J91" s="20">
        <f t="shared" si="8"/>
        <v>2.4927204658903657E-3</v>
      </c>
      <c r="K91" s="15">
        <f>SUM($J$5:J91)</f>
        <v>0.97916608304168151</v>
      </c>
      <c r="L91" s="15">
        <f t="shared" si="9"/>
        <v>2.3326637424208853E-2</v>
      </c>
    </row>
    <row r="92" spans="8:12">
      <c r="H92" s="11">
        <v>88</v>
      </c>
      <c r="I92" s="18">
        <f t="shared" si="7"/>
        <v>0.15544929148113751</v>
      </c>
      <c r="J92" s="20">
        <f t="shared" si="8"/>
        <v>2.3390399623688034E-3</v>
      </c>
      <c r="K92" s="15">
        <f>SUM($J$5:J92)</f>
        <v>0.98150512300405035</v>
      </c>
      <c r="L92" s="15">
        <f t="shared" si="9"/>
        <v>2.0833916958318453E-2</v>
      </c>
    </row>
    <row r="93" spans="8:12">
      <c r="H93" s="11">
        <v>89</v>
      </c>
      <c r="I93" s="18">
        <f t="shared" si="7"/>
        <v>0.14570423811200234</v>
      </c>
      <c r="J93" s="20">
        <f t="shared" si="8"/>
        <v>2.1924064907804827E-3</v>
      </c>
      <c r="K93" s="15">
        <f>SUM($J$5:J93)</f>
        <v>0.9836975294948308</v>
      </c>
      <c r="L93" s="15">
        <f t="shared" si="9"/>
        <v>1.8494876995949681E-2</v>
      </c>
    </row>
    <row r="94" spans="8:12">
      <c r="H94" s="11">
        <v>90</v>
      </c>
      <c r="I94" s="18">
        <f t="shared" si="7"/>
        <v>0.13641904241625988</v>
      </c>
      <c r="J94" s="20">
        <f t="shared" si="8"/>
        <v>2.0526924812547991E-3</v>
      </c>
      <c r="K94" s="15">
        <f>SUM($J$5:J94)</f>
        <v>0.98575022197608564</v>
      </c>
      <c r="L94" s="15">
        <f t="shared" si="9"/>
        <v>1.6302470505169159E-2</v>
      </c>
    </row>
    <row r="95" spans="8:12">
      <c r="H95" s="11">
        <v>91</v>
      </c>
      <c r="I95" s="18">
        <f t="shared" si="7"/>
        <v>0.12758428499354346</v>
      </c>
      <c r="J95" s="20">
        <f t="shared" si="8"/>
        <v>1.9197562004093145E-3</v>
      </c>
      <c r="K95" s="15">
        <f>SUM($J$5:J95)</f>
        <v>0.98766997817649493</v>
      </c>
      <c r="L95" s="15">
        <f t="shared" si="9"/>
        <v>1.424977802391438E-2</v>
      </c>
    </row>
    <row r="96" spans="8:12">
      <c r="H96" s="11">
        <v>92</v>
      </c>
      <c r="I96" s="18">
        <f t="shared" si="7"/>
        <v>0.119189705440737</v>
      </c>
      <c r="J96" s="20">
        <f t="shared" si="8"/>
        <v>1.7934432603231196E-3</v>
      </c>
      <c r="K96" s="15">
        <f>SUM($J$5:J96)</f>
        <v>0.98946342143681809</v>
      </c>
      <c r="L96" s="15">
        <f t="shared" si="9"/>
        <v>1.2330021823505028E-2</v>
      </c>
    </row>
    <row r="97" spans="8:12">
      <c r="H97" s="11">
        <v>93</v>
      </c>
      <c r="I97" s="18">
        <f t="shared" si="7"/>
        <v>0.11122430069437002</v>
      </c>
      <c r="J97" s="20">
        <f t="shared" si="8"/>
        <v>1.6735880982913565E-3</v>
      </c>
      <c r="K97" s="15">
        <f>SUM($J$5:J97)</f>
        <v>0.99113700953510941</v>
      </c>
      <c r="L97" s="15">
        <f t="shared" si="9"/>
        <v>1.0536578563181942E-2</v>
      </c>
    </row>
    <row r="98" spans="8:12">
      <c r="H98" s="11">
        <v>94</v>
      </c>
      <c r="I98" s="18">
        <f t="shared" si="7"/>
        <v>0.10367642092598385</v>
      </c>
      <c r="J98" s="20">
        <f t="shared" si="8"/>
        <v>1.5600154197593834E-3</v>
      </c>
      <c r="K98" s="15">
        <f>SUM($J$5:J98)</f>
        <v>0.99269702495486878</v>
      </c>
      <c r="L98" s="15">
        <f t="shared" si="9"/>
        <v>8.8629904648906046E-3</v>
      </c>
    </row>
    <row r="99" spans="8:12">
      <c r="H99" s="11">
        <v>95</v>
      </c>
      <c r="I99" s="18">
        <f t="shared" si="7"/>
        <v>9.6533862536547513E-2</v>
      </c>
      <c r="J99" s="20">
        <f t="shared" si="8"/>
        <v>1.4525415976064443E-3</v>
      </c>
      <c r="K99" s="15">
        <f>SUM($J$5:J99)</f>
        <v>0.99414956655247522</v>
      </c>
      <c r="L99" s="15">
        <f t="shared" si="9"/>
        <v>7.3029750451312275E-3</v>
      </c>
    </row>
    <row r="100" spans="8:12">
      <c r="H100" s="11">
        <v>96</v>
      </c>
      <c r="I100" s="18">
        <f t="shared" si="7"/>
        <v>8.9783957847772752E-2</v>
      </c>
      <c r="J100" s="20">
        <f t="shared" si="8"/>
        <v>1.3509760217276987E-3</v>
      </c>
      <c r="K100" s="15">
        <f>SUM($J$5:J100)</f>
        <v>0.99550054257420295</v>
      </c>
      <c r="L100" s="15">
        <f t="shared" si="9"/>
        <v>5.8504334475247477E-3</v>
      </c>
    </row>
    <row r="101" spans="8:12">
      <c r="H101" s="11">
        <v>97</v>
      </c>
      <c r="I101" s="18">
        <f t="shared" ref="I101:I132" si="10">IF(H101&lt;=$B$5,1,EXP(-((H101-$B$5)^2)/(2*$B$6^2)))</f>
        <v>8.3413661139928638E-2</v>
      </c>
      <c r="J101" s="20">
        <f t="shared" ref="J101:J132" si="11">I101/SUM($I$5:$I$104)</f>
        <v>1.2551223936421577E-3</v>
      </c>
      <c r="K101" s="15">
        <f>SUM($J$5:J101)</f>
        <v>0.99675566496784507</v>
      </c>
      <c r="L101" s="15">
        <f t="shared" ref="L101:L132" si="12">1-K101+J101</f>
        <v>4.4994574257970904E-3</v>
      </c>
    </row>
    <row r="102" spans="8:12">
      <c r="H102" s="11">
        <v>98</v>
      </c>
      <c r="I102" s="18">
        <f t="shared" si="10"/>
        <v>7.7409630736984744E-2</v>
      </c>
      <c r="J102" s="20">
        <f t="shared" si="11"/>
        <v>1.1647799616249161E-3</v>
      </c>
      <c r="K102" s="15">
        <f>SUM($J$5:J102)</f>
        <v>0.99792044492946996</v>
      </c>
      <c r="L102" s="15">
        <f t="shared" si="12"/>
        <v>3.2443350321549533E-3</v>
      </c>
    </row>
    <row r="103" spans="8:12">
      <c r="H103" s="11">
        <v>99</v>
      </c>
      <c r="I103" s="18">
        <f t="shared" si="10"/>
        <v>7.1758306890171653E-2</v>
      </c>
      <c r="J103" s="20">
        <f t="shared" si="11"/>
        <v>1.0797446926183181E-3</v>
      </c>
      <c r="K103" s="15">
        <f>SUM($J$5:J103)</f>
        <v>0.99900018962208825</v>
      </c>
      <c r="L103" s="15">
        <f t="shared" si="12"/>
        <v>2.0795550705300656E-3</v>
      </c>
    </row>
    <row r="104" spans="8:12">
      <c r="H104" s="11">
        <v>100</v>
      </c>
      <c r="I104" s="18">
        <f t="shared" si="10"/>
        <v>6.6445985259912257E-2</v>
      </c>
      <c r="J104" s="20">
        <f t="shared" si="11"/>
        <v>9.9981037791196459E-4</v>
      </c>
      <c r="K104" s="15">
        <f>SUM($J$5:J104)</f>
        <v>1.0000000000000002</v>
      </c>
      <c r="L104" s="15">
        <f t="shared" si="12"/>
        <v>9.9981037791174255E-4</v>
      </c>
    </row>
  </sheetData>
  <phoneticPr fontId="9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6"/>
  <sheetViews>
    <sheetView showGridLines="0" workbookViewId="0"/>
  </sheetViews>
  <sheetFormatPr defaultRowHeight="16.5"/>
  <cols>
    <col min="1" max="1" width="12" customWidth="1"/>
    <col min="2" max="2" width="10" customWidth="1"/>
    <col min="3" max="3" width="44" customWidth="1"/>
    <col min="4" max="4" width="10" customWidth="1"/>
    <col min="5" max="5" width="12" customWidth="1"/>
    <col min="6" max="7" width="10" customWidth="1"/>
    <col min="8" max="8" width="8" customWidth="1"/>
    <col min="9" max="10" width="12" customWidth="1"/>
    <col min="11" max="11" width="10" customWidth="1"/>
    <col min="12" max="12" width="12" customWidth="1"/>
    <col min="13" max="13" width="10" customWidth="1"/>
    <col min="14" max="14" width="14" customWidth="1"/>
    <col min="15" max="15" width="12" customWidth="1"/>
    <col min="16" max="16" width="10" customWidth="1"/>
  </cols>
  <sheetData>
    <row r="1" spans="1:13" ht="20.25">
      <c r="A1" s="1" t="s">
        <v>25</v>
      </c>
    </row>
    <row r="2" spans="1:13">
      <c r="A2" s="2" t="s">
        <v>265</v>
      </c>
    </row>
    <row r="4" spans="1:13">
      <c r="A4" s="8" t="s">
        <v>266</v>
      </c>
      <c r="B4" s="8" t="s">
        <v>101</v>
      </c>
    </row>
    <row r="5" spans="1:13">
      <c r="A5" s="6" t="s">
        <v>267</v>
      </c>
      <c r="B5" s="10">
        <v>5</v>
      </c>
    </row>
    <row r="7" spans="1:13">
      <c r="A7" s="8" t="s">
        <v>268</v>
      </c>
      <c r="B7" s="8" t="s">
        <v>269</v>
      </c>
    </row>
    <row r="8" spans="1:13">
      <c r="A8" s="10">
        <v>1</v>
      </c>
      <c r="B8" s="10">
        <v>0</v>
      </c>
    </row>
    <row r="9" spans="1:13">
      <c r="A9" s="10">
        <v>2</v>
      </c>
      <c r="B9" s="10">
        <v>10</v>
      </c>
    </row>
    <row r="10" spans="1:13">
      <c r="A10" s="10">
        <v>4</v>
      </c>
      <c r="B10" s="10">
        <v>20</v>
      </c>
    </row>
    <row r="11" spans="1:13">
      <c r="A11" s="2" t="s">
        <v>270</v>
      </c>
    </row>
    <row r="13" spans="1:13">
      <c r="A13" s="8" t="s">
        <v>271</v>
      </c>
      <c r="B13" s="8" t="s">
        <v>272</v>
      </c>
      <c r="C13" s="8" t="s">
        <v>273</v>
      </c>
      <c r="D13" s="8" t="s">
        <v>109</v>
      </c>
      <c r="E13" s="8" t="s">
        <v>123</v>
      </c>
      <c r="F13" s="8" t="s">
        <v>274</v>
      </c>
      <c r="G13" s="8" t="s">
        <v>275</v>
      </c>
      <c r="I13" s="8" t="s">
        <v>271</v>
      </c>
      <c r="J13" s="8" t="s">
        <v>276</v>
      </c>
      <c r="K13" s="8" t="s">
        <v>277</v>
      </c>
      <c r="L13" s="8" t="s">
        <v>278</v>
      </c>
      <c r="M13" s="8" t="s">
        <v>279</v>
      </c>
    </row>
    <row r="14" spans="1:13">
      <c r="A14" s="4" t="s">
        <v>280</v>
      </c>
      <c r="B14" s="4">
        <v>1</v>
      </c>
      <c r="C14" s="4" t="s">
        <v>281</v>
      </c>
      <c r="D14" s="10">
        <v>8</v>
      </c>
      <c r="E14" s="10">
        <v>0</v>
      </c>
      <c r="F14" s="10">
        <v>1</v>
      </c>
      <c r="G14" s="11">
        <f t="shared" ref="G14:G52" si="0">(D14+E14*$B$5)*INDEX($B$8:$B$10,MATCH(F14,$A$8:$A$10,1))</f>
        <v>0</v>
      </c>
      <c r="I14" s="6" t="s">
        <v>280</v>
      </c>
      <c r="J14" s="11">
        <f t="shared" ref="J14:J22" si="1">COUNTIF($A$14:$A$52,I14)</f>
        <v>6</v>
      </c>
      <c r="K14" s="11">
        <f t="shared" ref="K14:K22" si="2">SUMIF($A$14:$A$52,I14,$D$14:$D$52)</f>
        <v>220</v>
      </c>
      <c r="L14" s="11">
        <f t="shared" ref="L14:L22" si="3">SUMIF($A$14:$A$52,I14,$E$14:$E$52)</f>
        <v>25</v>
      </c>
      <c r="M14" s="11">
        <f t="shared" ref="M14:M22" si="4">SUMIF($A$14:$A$52,I14,$G$14:$G$52)</f>
        <v>6190</v>
      </c>
    </row>
    <row r="15" spans="1:13">
      <c r="A15" s="4" t="s">
        <v>280</v>
      </c>
      <c r="B15" s="4">
        <v>2</v>
      </c>
      <c r="C15" s="4" t="s">
        <v>282</v>
      </c>
      <c r="D15" s="10">
        <v>15</v>
      </c>
      <c r="E15" s="10">
        <v>0</v>
      </c>
      <c r="F15" s="10">
        <v>1</v>
      </c>
      <c r="G15" s="11">
        <f t="shared" si="0"/>
        <v>0</v>
      </c>
      <c r="I15" s="6" t="s">
        <v>283</v>
      </c>
      <c r="J15" s="11">
        <f t="shared" si="1"/>
        <v>1</v>
      </c>
      <c r="K15" s="11">
        <f t="shared" si="2"/>
        <v>30</v>
      </c>
      <c r="L15" s="11">
        <f t="shared" si="3"/>
        <v>5</v>
      </c>
      <c r="M15" s="11">
        <f t="shared" si="4"/>
        <v>550</v>
      </c>
    </row>
    <row r="16" spans="1:13">
      <c r="A16" s="4" t="s">
        <v>280</v>
      </c>
      <c r="B16" s="4">
        <v>3</v>
      </c>
      <c r="C16" s="4" t="s">
        <v>284</v>
      </c>
      <c r="D16" s="10">
        <v>25</v>
      </c>
      <c r="E16" s="10">
        <v>0</v>
      </c>
      <c r="F16" s="10">
        <v>2</v>
      </c>
      <c r="G16" s="11">
        <f t="shared" si="0"/>
        <v>250</v>
      </c>
      <c r="I16" s="6" t="s">
        <v>285</v>
      </c>
      <c r="J16" s="11">
        <f t="shared" si="1"/>
        <v>3</v>
      </c>
      <c r="K16" s="11">
        <f t="shared" si="2"/>
        <v>140</v>
      </c>
      <c r="L16" s="11">
        <f t="shared" si="3"/>
        <v>38</v>
      </c>
      <c r="M16" s="11">
        <f t="shared" si="4"/>
        <v>6600</v>
      </c>
    </row>
    <row r="17" spans="1:13">
      <c r="A17" s="4" t="s">
        <v>280</v>
      </c>
      <c r="B17" s="4">
        <v>4</v>
      </c>
      <c r="C17" s="4" t="s">
        <v>286</v>
      </c>
      <c r="D17" s="10">
        <v>40</v>
      </c>
      <c r="E17" s="10">
        <v>4</v>
      </c>
      <c r="F17" s="10">
        <v>4</v>
      </c>
      <c r="G17" s="11">
        <f t="shared" si="0"/>
        <v>1200</v>
      </c>
      <c r="I17" s="6" t="s">
        <v>287</v>
      </c>
      <c r="J17" s="11">
        <f t="shared" si="1"/>
        <v>2</v>
      </c>
      <c r="K17" s="11">
        <f t="shared" si="2"/>
        <v>90</v>
      </c>
      <c r="L17" s="11">
        <f t="shared" si="3"/>
        <v>25</v>
      </c>
      <c r="M17" s="11">
        <f t="shared" si="4"/>
        <v>3600</v>
      </c>
    </row>
    <row r="18" spans="1:13">
      <c r="A18" s="4" t="s">
        <v>280</v>
      </c>
      <c r="B18" s="4">
        <v>5</v>
      </c>
      <c r="C18" s="4" t="s">
        <v>288</v>
      </c>
      <c r="D18" s="10">
        <v>57</v>
      </c>
      <c r="E18" s="10">
        <v>8</v>
      </c>
      <c r="F18" s="10">
        <v>6</v>
      </c>
      <c r="G18" s="11">
        <f t="shared" si="0"/>
        <v>1940</v>
      </c>
      <c r="I18" s="6" t="s">
        <v>289</v>
      </c>
      <c r="J18" s="11">
        <f t="shared" si="1"/>
        <v>3</v>
      </c>
      <c r="K18" s="11">
        <f t="shared" si="2"/>
        <v>130</v>
      </c>
      <c r="L18" s="11">
        <f t="shared" si="3"/>
        <v>26</v>
      </c>
      <c r="M18" s="11">
        <f t="shared" si="4"/>
        <v>4200</v>
      </c>
    </row>
    <row r="19" spans="1:13">
      <c r="A19" s="4" t="s">
        <v>280</v>
      </c>
      <c r="B19" s="4">
        <v>6</v>
      </c>
      <c r="C19" s="4" t="s">
        <v>290</v>
      </c>
      <c r="D19" s="10">
        <v>75</v>
      </c>
      <c r="E19" s="10">
        <v>13</v>
      </c>
      <c r="F19" s="10">
        <v>10</v>
      </c>
      <c r="G19" s="11">
        <f t="shared" si="0"/>
        <v>2800</v>
      </c>
      <c r="I19" s="6" t="s">
        <v>291</v>
      </c>
      <c r="J19" s="11">
        <f t="shared" si="1"/>
        <v>4</v>
      </c>
      <c r="K19" s="11">
        <f t="shared" si="2"/>
        <v>110</v>
      </c>
      <c r="L19" s="11">
        <f t="shared" si="3"/>
        <v>20</v>
      </c>
      <c r="M19" s="11">
        <f t="shared" si="4"/>
        <v>4040</v>
      </c>
    </row>
    <row r="20" spans="1:13">
      <c r="A20" s="4" t="s">
        <v>283</v>
      </c>
      <c r="B20" s="4" t="s">
        <v>292</v>
      </c>
      <c r="C20" s="4" t="s">
        <v>293</v>
      </c>
      <c r="D20" s="10">
        <v>30</v>
      </c>
      <c r="E20" s="10">
        <v>5</v>
      </c>
      <c r="F20" s="10">
        <v>2</v>
      </c>
      <c r="G20" s="11">
        <f t="shared" si="0"/>
        <v>550</v>
      </c>
      <c r="I20" s="6" t="s">
        <v>294</v>
      </c>
      <c r="J20" s="11">
        <f t="shared" si="1"/>
        <v>16</v>
      </c>
      <c r="K20" s="11">
        <f t="shared" si="2"/>
        <v>380</v>
      </c>
      <c r="L20" s="11">
        <f t="shared" si="3"/>
        <v>76</v>
      </c>
      <c r="M20" s="11">
        <f t="shared" si="4"/>
        <v>13810</v>
      </c>
    </row>
    <row r="21" spans="1:13">
      <c r="A21" s="4" t="s">
        <v>285</v>
      </c>
      <c r="B21" s="4">
        <v>1</v>
      </c>
      <c r="C21" s="4" t="s">
        <v>295</v>
      </c>
      <c r="D21" s="10">
        <v>35</v>
      </c>
      <c r="E21" s="10">
        <v>8</v>
      </c>
      <c r="F21" s="10">
        <v>5</v>
      </c>
      <c r="G21" s="11">
        <f t="shared" si="0"/>
        <v>1500</v>
      </c>
      <c r="I21" s="6" t="s">
        <v>296</v>
      </c>
      <c r="J21" s="11">
        <f t="shared" si="1"/>
        <v>2</v>
      </c>
      <c r="K21" s="11">
        <f t="shared" si="2"/>
        <v>125</v>
      </c>
      <c r="L21" s="11">
        <f t="shared" si="3"/>
        <v>25</v>
      </c>
      <c r="M21" s="11">
        <f t="shared" si="4"/>
        <v>5000</v>
      </c>
    </row>
    <row r="22" spans="1:13">
      <c r="A22" s="4" t="s">
        <v>285</v>
      </c>
      <c r="B22" s="4">
        <v>2</v>
      </c>
      <c r="C22" s="4" t="s">
        <v>297</v>
      </c>
      <c r="D22" s="10">
        <v>45</v>
      </c>
      <c r="E22" s="10">
        <v>12</v>
      </c>
      <c r="F22" s="10">
        <v>7</v>
      </c>
      <c r="G22" s="11">
        <f t="shared" si="0"/>
        <v>2100</v>
      </c>
      <c r="I22" s="6" t="s">
        <v>298</v>
      </c>
      <c r="J22" s="11">
        <f t="shared" si="1"/>
        <v>2</v>
      </c>
      <c r="K22" s="11">
        <f t="shared" si="2"/>
        <v>190</v>
      </c>
      <c r="L22" s="11">
        <f t="shared" si="3"/>
        <v>37</v>
      </c>
      <c r="M22" s="11">
        <f t="shared" si="4"/>
        <v>7500</v>
      </c>
    </row>
    <row r="23" spans="1:13">
      <c r="A23" s="4" t="s">
        <v>285</v>
      </c>
      <c r="B23" s="4">
        <v>3</v>
      </c>
      <c r="C23" s="4" t="s">
        <v>299</v>
      </c>
      <c r="D23" s="10">
        <v>60</v>
      </c>
      <c r="E23" s="10">
        <v>18</v>
      </c>
      <c r="F23" s="10">
        <v>12</v>
      </c>
      <c r="G23" s="11">
        <f t="shared" si="0"/>
        <v>3000</v>
      </c>
      <c r="I23" s="8" t="s">
        <v>161</v>
      </c>
      <c r="J23" s="11">
        <f>SUM(J14:J22)</f>
        <v>39</v>
      </c>
      <c r="K23" s="11">
        <f>SUM(K14:K22)</f>
        <v>1415</v>
      </c>
      <c r="L23" s="11">
        <f>SUM(L14:L22)</f>
        <v>277</v>
      </c>
      <c r="M23" s="11">
        <f>SUM(M14:M22)</f>
        <v>51490</v>
      </c>
    </row>
    <row r="24" spans="1:13">
      <c r="A24" s="4" t="s">
        <v>287</v>
      </c>
      <c r="B24" s="4">
        <v>1</v>
      </c>
      <c r="C24" s="4" t="s">
        <v>300</v>
      </c>
      <c r="D24" s="10">
        <v>30</v>
      </c>
      <c r="E24" s="10">
        <v>8</v>
      </c>
      <c r="F24" s="10">
        <v>3</v>
      </c>
      <c r="G24" s="11">
        <f t="shared" si="0"/>
        <v>700</v>
      </c>
    </row>
    <row r="25" spans="1:13">
      <c r="A25" s="4" t="s">
        <v>287</v>
      </c>
      <c r="B25" s="4">
        <v>2</v>
      </c>
      <c r="C25" s="4" t="s">
        <v>301</v>
      </c>
      <c r="D25" s="10">
        <v>60</v>
      </c>
      <c r="E25" s="10">
        <v>17</v>
      </c>
      <c r="F25" s="10">
        <v>9</v>
      </c>
      <c r="G25" s="11">
        <f t="shared" si="0"/>
        <v>2900</v>
      </c>
    </row>
    <row r="26" spans="1:13">
      <c r="A26" s="4" t="s">
        <v>289</v>
      </c>
      <c r="B26" s="4">
        <v>1</v>
      </c>
      <c r="C26" s="4" t="s">
        <v>302</v>
      </c>
      <c r="D26" s="10">
        <v>10</v>
      </c>
      <c r="E26" s="10">
        <v>0</v>
      </c>
      <c r="F26" s="10">
        <v>1</v>
      </c>
      <c r="G26" s="11">
        <f t="shared" si="0"/>
        <v>0</v>
      </c>
    </row>
    <row r="27" spans="1:13">
      <c r="A27" s="4" t="s">
        <v>289</v>
      </c>
      <c r="B27" s="4">
        <v>2</v>
      </c>
      <c r="C27" s="4" t="s">
        <v>303</v>
      </c>
      <c r="D27" s="10">
        <v>40</v>
      </c>
      <c r="E27" s="10">
        <v>8</v>
      </c>
      <c r="F27" s="10">
        <v>3</v>
      </c>
      <c r="G27" s="11">
        <f t="shared" si="0"/>
        <v>800</v>
      </c>
    </row>
    <row r="28" spans="1:13">
      <c r="A28" s="4" t="s">
        <v>289</v>
      </c>
      <c r="B28" s="4">
        <v>3</v>
      </c>
      <c r="C28" s="4" t="s">
        <v>304</v>
      </c>
      <c r="D28" s="10">
        <v>80</v>
      </c>
      <c r="E28" s="10">
        <v>18</v>
      </c>
      <c r="F28" s="10">
        <v>8</v>
      </c>
      <c r="G28" s="11">
        <f t="shared" si="0"/>
        <v>3400</v>
      </c>
    </row>
    <row r="29" spans="1:13">
      <c r="A29" s="4" t="s">
        <v>291</v>
      </c>
      <c r="B29" s="4">
        <v>1</v>
      </c>
      <c r="C29" s="4" t="s">
        <v>305</v>
      </c>
      <c r="D29" s="10">
        <v>8</v>
      </c>
      <c r="E29" s="10">
        <v>0</v>
      </c>
      <c r="F29" s="10">
        <v>1</v>
      </c>
      <c r="G29" s="11">
        <f t="shared" si="0"/>
        <v>0</v>
      </c>
    </row>
    <row r="30" spans="1:13">
      <c r="A30" s="4" t="s">
        <v>291</v>
      </c>
      <c r="B30" s="4">
        <v>2</v>
      </c>
      <c r="C30" s="4" t="s">
        <v>306</v>
      </c>
      <c r="D30" s="10">
        <v>20</v>
      </c>
      <c r="E30" s="10">
        <v>3</v>
      </c>
      <c r="F30" s="10">
        <v>4</v>
      </c>
      <c r="G30" s="11">
        <f t="shared" si="0"/>
        <v>700</v>
      </c>
    </row>
    <row r="31" spans="1:13">
      <c r="A31" s="4" t="s">
        <v>291</v>
      </c>
      <c r="B31" s="4">
        <v>3</v>
      </c>
      <c r="C31" s="4" t="s">
        <v>307</v>
      </c>
      <c r="D31" s="10">
        <v>32</v>
      </c>
      <c r="E31" s="10">
        <v>6</v>
      </c>
      <c r="F31" s="10">
        <v>6</v>
      </c>
      <c r="G31" s="11">
        <f t="shared" si="0"/>
        <v>1240</v>
      </c>
    </row>
    <row r="32" spans="1:13">
      <c r="A32" s="4" t="s">
        <v>291</v>
      </c>
      <c r="B32" s="4">
        <v>4</v>
      </c>
      <c r="C32" s="4" t="s">
        <v>308</v>
      </c>
      <c r="D32" s="10">
        <v>50</v>
      </c>
      <c r="E32" s="10">
        <v>11</v>
      </c>
      <c r="F32" s="10">
        <v>11</v>
      </c>
      <c r="G32" s="11">
        <f t="shared" si="0"/>
        <v>2100</v>
      </c>
    </row>
    <row r="33" spans="1:7">
      <c r="A33" s="4" t="s">
        <v>294</v>
      </c>
      <c r="B33" s="4">
        <v>1</v>
      </c>
      <c r="C33" s="4" t="s">
        <v>309</v>
      </c>
      <c r="D33" s="10">
        <v>5</v>
      </c>
      <c r="E33" s="10">
        <v>0</v>
      </c>
      <c r="F33" s="10">
        <v>1</v>
      </c>
      <c r="G33" s="11">
        <f t="shared" si="0"/>
        <v>0</v>
      </c>
    </row>
    <row r="34" spans="1:7">
      <c r="A34" s="4" t="s">
        <v>294</v>
      </c>
      <c r="B34" s="4">
        <v>2</v>
      </c>
      <c r="C34" s="4" t="s">
        <v>310</v>
      </c>
      <c r="D34" s="10">
        <v>7</v>
      </c>
      <c r="E34" s="10">
        <v>0</v>
      </c>
      <c r="F34" s="10">
        <v>1</v>
      </c>
      <c r="G34" s="11">
        <f t="shared" si="0"/>
        <v>0</v>
      </c>
    </row>
    <row r="35" spans="1:7">
      <c r="A35" s="4" t="s">
        <v>294</v>
      </c>
      <c r="B35" s="4">
        <v>3</v>
      </c>
      <c r="C35" s="4" t="s">
        <v>311</v>
      </c>
      <c r="D35" s="10">
        <v>8</v>
      </c>
      <c r="E35" s="10">
        <v>0</v>
      </c>
      <c r="F35" s="10">
        <v>1</v>
      </c>
      <c r="G35" s="11">
        <f t="shared" si="0"/>
        <v>0</v>
      </c>
    </row>
    <row r="36" spans="1:7">
      <c r="A36" s="4" t="s">
        <v>294</v>
      </c>
      <c r="B36" s="4">
        <v>4</v>
      </c>
      <c r="C36" s="4" t="s">
        <v>312</v>
      </c>
      <c r="D36" s="10">
        <v>10</v>
      </c>
      <c r="E36" s="10">
        <v>0</v>
      </c>
      <c r="F36" s="10">
        <v>1</v>
      </c>
      <c r="G36" s="11">
        <f t="shared" si="0"/>
        <v>0</v>
      </c>
    </row>
    <row r="37" spans="1:7">
      <c r="A37" s="4" t="s">
        <v>294</v>
      </c>
      <c r="B37" s="4">
        <v>5</v>
      </c>
      <c r="C37" s="4" t="s">
        <v>313</v>
      </c>
      <c r="D37" s="10">
        <v>11</v>
      </c>
      <c r="E37" s="10">
        <v>2</v>
      </c>
      <c r="F37" s="10">
        <v>2</v>
      </c>
      <c r="G37" s="11">
        <f t="shared" si="0"/>
        <v>210</v>
      </c>
    </row>
    <row r="38" spans="1:7">
      <c r="A38" s="4" t="s">
        <v>294</v>
      </c>
      <c r="B38" s="4">
        <v>6</v>
      </c>
      <c r="C38" s="4" t="s">
        <v>314</v>
      </c>
      <c r="D38" s="10">
        <v>13</v>
      </c>
      <c r="E38" s="10">
        <v>3</v>
      </c>
      <c r="F38" s="10">
        <v>2</v>
      </c>
      <c r="G38" s="11">
        <f t="shared" si="0"/>
        <v>280</v>
      </c>
    </row>
    <row r="39" spans="1:7">
      <c r="A39" s="4" t="s">
        <v>294</v>
      </c>
      <c r="B39" s="4">
        <v>7</v>
      </c>
      <c r="C39" s="4" t="s">
        <v>315</v>
      </c>
      <c r="D39" s="10">
        <v>15</v>
      </c>
      <c r="E39" s="10">
        <v>3</v>
      </c>
      <c r="F39" s="10">
        <v>3</v>
      </c>
      <c r="G39" s="11">
        <f t="shared" si="0"/>
        <v>300</v>
      </c>
    </row>
    <row r="40" spans="1:7">
      <c r="A40" s="4" t="s">
        <v>294</v>
      </c>
      <c r="B40" s="4">
        <v>8</v>
      </c>
      <c r="C40" s="4" t="s">
        <v>316</v>
      </c>
      <c r="D40" s="10">
        <v>18</v>
      </c>
      <c r="E40" s="10">
        <v>4</v>
      </c>
      <c r="F40" s="10">
        <v>4</v>
      </c>
      <c r="G40" s="11">
        <f t="shared" si="0"/>
        <v>760</v>
      </c>
    </row>
    <row r="41" spans="1:7">
      <c r="A41" s="4" t="s">
        <v>294</v>
      </c>
      <c r="B41" s="4">
        <v>9</v>
      </c>
      <c r="C41" s="4" t="s">
        <v>317</v>
      </c>
      <c r="D41" s="10">
        <v>21</v>
      </c>
      <c r="E41" s="10">
        <v>5</v>
      </c>
      <c r="F41" s="10">
        <v>5</v>
      </c>
      <c r="G41" s="11">
        <f t="shared" si="0"/>
        <v>920</v>
      </c>
    </row>
    <row r="42" spans="1:7">
      <c r="A42" s="4" t="s">
        <v>294</v>
      </c>
      <c r="B42" s="4">
        <v>10</v>
      </c>
      <c r="C42" s="4" t="s">
        <v>318</v>
      </c>
      <c r="D42" s="10">
        <v>24</v>
      </c>
      <c r="E42" s="10">
        <v>6</v>
      </c>
      <c r="F42" s="10">
        <v>7</v>
      </c>
      <c r="G42" s="11">
        <f t="shared" si="0"/>
        <v>1080</v>
      </c>
    </row>
    <row r="43" spans="1:7">
      <c r="A43" s="4" t="s">
        <v>294</v>
      </c>
      <c r="B43" s="4">
        <v>11</v>
      </c>
      <c r="C43" s="4" t="s">
        <v>319</v>
      </c>
      <c r="D43" s="10">
        <v>28</v>
      </c>
      <c r="E43" s="10">
        <v>7</v>
      </c>
      <c r="F43" s="10">
        <v>7</v>
      </c>
      <c r="G43" s="11">
        <f t="shared" si="0"/>
        <v>1260</v>
      </c>
    </row>
    <row r="44" spans="1:7">
      <c r="A44" s="4" t="s">
        <v>294</v>
      </c>
      <c r="B44" s="4">
        <v>12</v>
      </c>
      <c r="C44" s="4" t="s">
        <v>320</v>
      </c>
      <c r="D44" s="10">
        <v>32</v>
      </c>
      <c r="E44" s="10">
        <v>8</v>
      </c>
      <c r="F44" s="10">
        <v>11</v>
      </c>
      <c r="G44" s="11">
        <f t="shared" si="0"/>
        <v>1440</v>
      </c>
    </row>
    <row r="45" spans="1:7">
      <c r="A45" s="4" t="s">
        <v>294</v>
      </c>
      <c r="B45" s="4">
        <v>13</v>
      </c>
      <c r="C45" s="4" t="s">
        <v>321</v>
      </c>
      <c r="D45" s="10">
        <v>37</v>
      </c>
      <c r="E45" s="10">
        <v>8</v>
      </c>
      <c r="F45" s="10">
        <v>12</v>
      </c>
      <c r="G45" s="11">
        <f t="shared" si="0"/>
        <v>1540</v>
      </c>
    </row>
    <row r="46" spans="1:7">
      <c r="A46" s="4" t="s">
        <v>294</v>
      </c>
      <c r="B46" s="4">
        <v>14</v>
      </c>
      <c r="C46" s="4" t="s">
        <v>322</v>
      </c>
      <c r="D46" s="10">
        <v>43</v>
      </c>
      <c r="E46" s="10">
        <v>9</v>
      </c>
      <c r="F46" s="10">
        <v>13</v>
      </c>
      <c r="G46" s="11">
        <f t="shared" si="0"/>
        <v>1760</v>
      </c>
    </row>
    <row r="47" spans="1:7">
      <c r="A47" s="4" t="s">
        <v>294</v>
      </c>
      <c r="B47" s="4">
        <v>15</v>
      </c>
      <c r="C47" s="4" t="s">
        <v>323</v>
      </c>
      <c r="D47" s="10">
        <v>50</v>
      </c>
      <c r="E47" s="10">
        <v>10</v>
      </c>
      <c r="F47" s="10">
        <v>14</v>
      </c>
      <c r="G47" s="11">
        <f t="shared" si="0"/>
        <v>2000</v>
      </c>
    </row>
    <row r="48" spans="1:7">
      <c r="A48" s="4" t="s">
        <v>294</v>
      </c>
      <c r="B48" s="4">
        <v>16</v>
      </c>
      <c r="C48" s="4" t="s">
        <v>324</v>
      </c>
      <c r="D48" s="10">
        <v>58</v>
      </c>
      <c r="E48" s="10">
        <v>11</v>
      </c>
      <c r="F48" s="10">
        <v>14</v>
      </c>
      <c r="G48" s="11">
        <f t="shared" si="0"/>
        <v>2260</v>
      </c>
    </row>
    <row r="49" spans="1:16">
      <c r="A49" s="4" t="s">
        <v>296</v>
      </c>
      <c r="B49" s="4">
        <v>1</v>
      </c>
      <c r="C49" s="4" t="s">
        <v>325</v>
      </c>
      <c r="D49" s="10">
        <v>25</v>
      </c>
      <c r="E49" s="10">
        <v>5</v>
      </c>
      <c r="F49" s="10">
        <v>5</v>
      </c>
      <c r="G49" s="11">
        <f t="shared" si="0"/>
        <v>1000</v>
      </c>
    </row>
    <row r="50" spans="1:16">
      <c r="A50" s="4" t="s">
        <v>296</v>
      </c>
      <c r="B50" s="4">
        <v>2</v>
      </c>
      <c r="C50" s="4" t="s">
        <v>326</v>
      </c>
      <c r="D50" s="10">
        <v>100</v>
      </c>
      <c r="E50" s="10">
        <v>20</v>
      </c>
      <c r="F50" s="10">
        <v>10</v>
      </c>
      <c r="G50" s="11">
        <f t="shared" si="0"/>
        <v>4000</v>
      </c>
    </row>
    <row r="51" spans="1:16">
      <c r="A51" s="4" t="s">
        <v>298</v>
      </c>
      <c r="B51" s="4">
        <v>1</v>
      </c>
      <c r="C51" s="4" t="s">
        <v>327</v>
      </c>
      <c r="D51" s="10">
        <v>20</v>
      </c>
      <c r="E51" s="10">
        <v>4</v>
      </c>
      <c r="F51" s="10">
        <v>6</v>
      </c>
      <c r="G51" s="11">
        <f t="shared" si="0"/>
        <v>800</v>
      </c>
    </row>
    <row r="52" spans="1:16">
      <c r="A52" s="4" t="s">
        <v>298</v>
      </c>
      <c r="B52" s="4">
        <v>2</v>
      </c>
      <c r="C52" s="4" t="s">
        <v>328</v>
      </c>
      <c r="D52" s="10">
        <v>170</v>
      </c>
      <c r="E52" s="10">
        <v>33</v>
      </c>
      <c r="F52" s="10">
        <v>13</v>
      </c>
      <c r="G52" s="11">
        <f t="shared" si="0"/>
        <v>6700</v>
      </c>
    </row>
    <row r="53" spans="1:16">
      <c r="A53" s="8" t="s">
        <v>161</v>
      </c>
      <c r="B53" s="6" t="str">
        <f>COUNTA(A14:A52)&amp;"단계"</f>
        <v>39단계</v>
      </c>
      <c r="D53" s="11">
        <f>SUM(D14:D52)</f>
        <v>1415</v>
      </c>
      <c r="E53" s="11">
        <f>SUM(E14:E52)</f>
        <v>277</v>
      </c>
      <c r="G53" s="11">
        <f>SUM(G14:G52)</f>
        <v>51490</v>
      </c>
    </row>
    <row r="55" spans="1:16">
      <c r="A55" s="3" t="s">
        <v>329</v>
      </c>
    </row>
    <row r="56" spans="1:16" ht="42" customHeight="1">
      <c r="A56" s="8" t="s">
        <v>330</v>
      </c>
      <c r="B56" s="8" t="s">
        <v>147</v>
      </c>
      <c r="C56" s="8" t="s">
        <v>331</v>
      </c>
      <c r="D56" s="8" t="s">
        <v>332</v>
      </c>
      <c r="E56" s="8" t="s">
        <v>333</v>
      </c>
      <c r="F56" s="8" t="s">
        <v>334</v>
      </c>
      <c r="G56" s="8" t="s">
        <v>335</v>
      </c>
      <c r="H56" s="8" t="s">
        <v>109</v>
      </c>
      <c r="I56" s="8" t="s">
        <v>336</v>
      </c>
      <c r="J56" s="8" t="s">
        <v>337</v>
      </c>
      <c r="K56" s="8" t="s">
        <v>123</v>
      </c>
      <c r="L56" s="8" t="s">
        <v>338</v>
      </c>
      <c r="M56" s="8" t="s">
        <v>339</v>
      </c>
      <c r="N56" s="8" t="s">
        <v>340</v>
      </c>
      <c r="O56" s="8" t="s">
        <v>341</v>
      </c>
      <c r="P56" s="8" t="s">
        <v>342</v>
      </c>
    </row>
    <row r="57" spans="1:16">
      <c r="A57" s="11">
        <v>1</v>
      </c>
      <c r="B57" s="11">
        <f t="shared" ref="B57:B87" si="5">COUNTIFS($A$14:$A$52,"탐험 강화",$F$14:$F$52,"&lt;"&amp;A57)</f>
        <v>0</v>
      </c>
      <c r="C57" s="13">
        <f>24*(탐험!$B$5+B57)</f>
        <v>72</v>
      </c>
      <c r="D57" s="12">
        <f>C57*탐험!$H$21</f>
        <v>79.833600000000004</v>
      </c>
      <c r="E57" s="12">
        <f>C57*(탐험!$H$22+탐험!$C$27*탐험!$E$39)</f>
        <v>16.110734693877554</v>
      </c>
      <c r="F57" s="11">
        <f>SUM($D$57:D57)</f>
        <v>79.833600000000004</v>
      </c>
      <c r="G57" s="11">
        <f t="shared" ref="G57:G87" si="6">SUMIF($F$14:$F$52,"&lt;="&amp;A57,$D$14:$D$52)</f>
        <v>71</v>
      </c>
      <c r="H57" s="6" t="str">
        <f t="shared" ref="H57:H87" si="7">IF(G57&lt;=F57,"OK","모자람")</f>
        <v>OK</v>
      </c>
      <c r="I57" s="11">
        <f>SUM($E$57:E57)</f>
        <v>16.110734693877554</v>
      </c>
      <c r="J57" s="11">
        <f t="shared" ref="J57:J87" si="8">SUMIF($F$14:$F$52,"&lt;="&amp;A57,$E$14:$E$52)</f>
        <v>0</v>
      </c>
      <c r="K57" s="6" t="str">
        <f t="shared" ref="K57:K87" si="9">IF(J57&lt;=I57,"OK","모자람")</f>
        <v>OK</v>
      </c>
      <c r="L57" s="10">
        <v>1880</v>
      </c>
      <c r="M57" s="24">
        <v>0.3</v>
      </c>
      <c r="N57" s="11">
        <f>SUM($L$57:L57)*M57</f>
        <v>564</v>
      </c>
      <c r="O57" s="11">
        <f t="shared" ref="O57:O87" si="10">SUMIF($F$14:$F$52,"&lt;="&amp;A57,$G$14:$G$52)</f>
        <v>0</v>
      </c>
      <c r="P57" s="25">
        <f t="shared" ref="P57:P87" si="11">IF(N57=0,0,O57/N57)</f>
        <v>0</v>
      </c>
    </row>
    <row r="58" spans="1:16">
      <c r="A58" s="11">
        <v>2</v>
      </c>
      <c r="B58" s="11">
        <f t="shared" si="5"/>
        <v>0</v>
      </c>
      <c r="C58" s="13">
        <f>24*(탐험!$B$5+B58)</f>
        <v>72</v>
      </c>
      <c r="D58" s="12">
        <f>C58*탐험!$H$21</f>
        <v>79.833600000000004</v>
      </c>
      <c r="E58" s="12">
        <f>C58*(탐험!$H$22+탐험!$C$27*탐험!$E$39)</f>
        <v>16.110734693877554</v>
      </c>
      <c r="F58" s="11">
        <f>SUM($D$57:D58)</f>
        <v>159.66720000000001</v>
      </c>
      <c r="G58" s="11">
        <f t="shared" si="6"/>
        <v>150</v>
      </c>
      <c r="H58" s="6" t="str">
        <f t="shared" si="7"/>
        <v>OK</v>
      </c>
      <c r="I58" s="11">
        <f>SUM($E$57:E58)</f>
        <v>32.221469387755107</v>
      </c>
      <c r="J58" s="11">
        <f t="shared" si="8"/>
        <v>10</v>
      </c>
      <c r="K58" s="6" t="str">
        <f t="shared" si="9"/>
        <v>OK</v>
      </c>
      <c r="L58" s="10">
        <v>2700</v>
      </c>
      <c r="M58" s="24">
        <v>0.5</v>
      </c>
      <c r="N58" s="11">
        <f>SUM($L$57:L58)*M58</f>
        <v>2290</v>
      </c>
      <c r="O58" s="11">
        <f t="shared" si="10"/>
        <v>1290</v>
      </c>
      <c r="P58" s="25">
        <f t="shared" si="11"/>
        <v>0.5633187772925764</v>
      </c>
    </row>
    <row r="59" spans="1:16">
      <c r="A59" s="11">
        <v>3</v>
      </c>
      <c r="B59" s="11">
        <f t="shared" si="5"/>
        <v>0</v>
      </c>
      <c r="C59" s="13">
        <f>24*(탐험!$B$5+B59)</f>
        <v>72</v>
      </c>
      <c r="D59" s="12">
        <f>C59*탐험!$H$21</f>
        <v>79.833600000000004</v>
      </c>
      <c r="E59" s="12">
        <f>C59*(탐험!$H$22+탐험!$C$27*탐험!$E$39)</f>
        <v>16.110734693877554</v>
      </c>
      <c r="F59" s="11">
        <f>SUM($D$57:D59)</f>
        <v>239.50080000000003</v>
      </c>
      <c r="G59" s="11">
        <f t="shared" si="6"/>
        <v>235</v>
      </c>
      <c r="H59" s="6" t="str">
        <f t="shared" si="7"/>
        <v>OK</v>
      </c>
      <c r="I59" s="11">
        <f>SUM($E$57:E59)</f>
        <v>48.332204081632661</v>
      </c>
      <c r="J59" s="11">
        <f t="shared" si="8"/>
        <v>29</v>
      </c>
      <c r="K59" s="6" t="str">
        <f t="shared" si="9"/>
        <v>OK</v>
      </c>
      <c r="L59" s="10">
        <v>5810</v>
      </c>
      <c r="M59" s="24">
        <v>0.65</v>
      </c>
      <c r="N59" s="11">
        <f>SUM($L$57:L59)*M59</f>
        <v>6753.5</v>
      </c>
      <c r="O59" s="11">
        <f t="shared" si="10"/>
        <v>3090</v>
      </c>
      <c r="P59" s="25">
        <f t="shared" si="11"/>
        <v>0.45754053453764715</v>
      </c>
    </row>
    <row r="60" spans="1:16">
      <c r="A60" s="11">
        <v>4</v>
      </c>
      <c r="B60" s="11">
        <f t="shared" si="5"/>
        <v>0</v>
      </c>
      <c r="C60" s="13">
        <f>24*(탐험!$B$5+B60)</f>
        <v>72</v>
      </c>
      <c r="D60" s="12">
        <f>C60*탐험!$H$21</f>
        <v>79.833600000000004</v>
      </c>
      <c r="E60" s="12">
        <f>C60*(탐험!$H$22+탐험!$C$27*탐험!$E$39)</f>
        <v>16.110734693877554</v>
      </c>
      <c r="F60" s="11">
        <f>SUM($D$57:D60)</f>
        <v>319.33440000000002</v>
      </c>
      <c r="G60" s="11">
        <f t="shared" si="6"/>
        <v>313</v>
      </c>
      <c r="H60" s="6" t="str">
        <f t="shared" si="7"/>
        <v>OK</v>
      </c>
      <c r="I60" s="11">
        <f>SUM($E$57:E60)</f>
        <v>64.442938775510214</v>
      </c>
      <c r="J60" s="11">
        <f t="shared" si="8"/>
        <v>40</v>
      </c>
      <c r="K60" s="6" t="str">
        <f t="shared" si="9"/>
        <v>OK</v>
      </c>
      <c r="L60" s="10">
        <v>6820</v>
      </c>
      <c r="M60" s="24">
        <v>0.75</v>
      </c>
      <c r="N60" s="11">
        <f>SUM($L$57:L60)*M60</f>
        <v>12907.5</v>
      </c>
      <c r="O60" s="11">
        <f t="shared" si="10"/>
        <v>5750</v>
      </c>
      <c r="P60" s="25">
        <f t="shared" si="11"/>
        <v>0.44547743559945768</v>
      </c>
    </row>
    <row r="61" spans="1:16">
      <c r="A61" s="11">
        <v>5</v>
      </c>
      <c r="B61" s="11">
        <f t="shared" si="5"/>
        <v>0</v>
      </c>
      <c r="C61" s="13">
        <f>24*(탐험!$B$5+B61)</f>
        <v>72</v>
      </c>
      <c r="D61" s="12">
        <f>C61*탐험!$H$21</f>
        <v>79.833600000000004</v>
      </c>
      <c r="E61" s="12">
        <f>C61*(탐험!$H$22+탐험!$C$27*탐험!$E$39)</f>
        <v>16.110734693877554</v>
      </c>
      <c r="F61" s="11">
        <f>SUM($D$57:D61)</f>
        <v>399.16800000000001</v>
      </c>
      <c r="G61" s="11">
        <f t="shared" si="6"/>
        <v>394</v>
      </c>
      <c r="H61" s="6" t="str">
        <f t="shared" si="7"/>
        <v>OK</v>
      </c>
      <c r="I61" s="11">
        <f>SUM($E$57:E61)</f>
        <v>80.553673469387775</v>
      </c>
      <c r="J61" s="11">
        <f t="shared" si="8"/>
        <v>58</v>
      </c>
      <c r="K61" s="6" t="str">
        <f t="shared" si="9"/>
        <v>OK</v>
      </c>
      <c r="L61" s="10">
        <v>6990</v>
      </c>
      <c r="M61" s="24">
        <v>0.8</v>
      </c>
      <c r="N61" s="11">
        <f>SUM($L$57:L61)*M61</f>
        <v>19360</v>
      </c>
      <c r="O61" s="11">
        <f t="shared" si="10"/>
        <v>9170</v>
      </c>
      <c r="P61" s="25">
        <f t="shared" si="11"/>
        <v>0.47365702479338845</v>
      </c>
    </row>
    <row r="62" spans="1:16">
      <c r="A62" s="11">
        <v>6</v>
      </c>
      <c r="B62" s="11">
        <f t="shared" si="5"/>
        <v>1</v>
      </c>
      <c r="C62" s="13">
        <f>24*(탐험!$B$5+B62)</f>
        <v>96</v>
      </c>
      <c r="D62" s="12">
        <f>C62*탐험!$H$21</f>
        <v>106.4448</v>
      </c>
      <c r="E62" s="12">
        <f>C62*(탐험!$H$22+탐험!$C$27*탐험!$E$39)</f>
        <v>21.480979591836736</v>
      </c>
      <c r="F62" s="11">
        <f>SUM($D$57:D62)</f>
        <v>505.61279999999999</v>
      </c>
      <c r="G62" s="11">
        <f t="shared" si="6"/>
        <v>503</v>
      </c>
      <c r="H62" s="6" t="str">
        <f t="shared" si="7"/>
        <v>OK</v>
      </c>
      <c r="I62" s="11">
        <f>SUM($E$57:E62)</f>
        <v>102.0346530612245</v>
      </c>
      <c r="J62" s="11">
        <f t="shared" si="8"/>
        <v>76</v>
      </c>
      <c r="K62" s="6" t="str">
        <f t="shared" si="9"/>
        <v>OK</v>
      </c>
      <c r="L62" s="10">
        <v>8320</v>
      </c>
      <c r="M62" s="24">
        <v>0.85</v>
      </c>
      <c r="N62" s="11">
        <f>SUM($L$57:L62)*M62</f>
        <v>27642</v>
      </c>
      <c r="O62" s="11">
        <f t="shared" si="10"/>
        <v>13150</v>
      </c>
      <c r="P62" s="25">
        <f t="shared" si="11"/>
        <v>0.47572534548874901</v>
      </c>
    </row>
    <row r="63" spans="1:16">
      <c r="A63" s="11">
        <v>7</v>
      </c>
      <c r="B63" s="11">
        <f t="shared" si="5"/>
        <v>1</v>
      </c>
      <c r="C63" s="13">
        <f>24*(탐험!$B$5+B63)</f>
        <v>96</v>
      </c>
      <c r="D63" s="12">
        <f>C63*탐험!$H$21</f>
        <v>106.4448</v>
      </c>
      <c r="E63" s="12">
        <f>C63*(탐험!$H$22+탐험!$C$27*탐험!$E$39)</f>
        <v>21.480979591836736</v>
      </c>
      <c r="F63" s="11">
        <f>SUM($D$57:D63)</f>
        <v>612.05759999999998</v>
      </c>
      <c r="G63" s="11">
        <f t="shared" si="6"/>
        <v>600</v>
      </c>
      <c r="H63" s="6" t="str">
        <f t="shared" si="7"/>
        <v>OK</v>
      </c>
      <c r="I63" s="11">
        <f>SUM($E$57:E63)</f>
        <v>123.51563265306123</v>
      </c>
      <c r="J63" s="11">
        <f t="shared" si="8"/>
        <v>101</v>
      </c>
      <c r="K63" s="6" t="str">
        <f t="shared" si="9"/>
        <v>OK</v>
      </c>
      <c r="L63" s="10">
        <v>8930</v>
      </c>
      <c r="M63" s="24">
        <v>0.9</v>
      </c>
      <c r="N63" s="11">
        <f>SUM($L$57:L63)*M63</f>
        <v>37305</v>
      </c>
      <c r="O63" s="11">
        <f t="shared" si="10"/>
        <v>17590</v>
      </c>
      <c r="P63" s="25">
        <f t="shared" si="11"/>
        <v>0.47151856319528213</v>
      </c>
    </row>
    <row r="64" spans="1:16">
      <c r="A64" s="11">
        <v>8</v>
      </c>
      <c r="B64" s="11">
        <f t="shared" si="5"/>
        <v>1</v>
      </c>
      <c r="C64" s="13">
        <f>24*(탐험!$B$5+B64)</f>
        <v>96</v>
      </c>
      <c r="D64" s="12">
        <f>C64*탐험!$H$21</f>
        <v>106.4448</v>
      </c>
      <c r="E64" s="12">
        <f>C64*(탐험!$H$22+탐험!$C$27*탐험!$E$39)</f>
        <v>21.480979591836736</v>
      </c>
      <c r="F64" s="11">
        <f>SUM($D$57:D64)</f>
        <v>718.50239999999997</v>
      </c>
      <c r="G64" s="11">
        <f t="shared" si="6"/>
        <v>680</v>
      </c>
      <c r="H64" s="6" t="str">
        <f t="shared" si="7"/>
        <v>OK</v>
      </c>
      <c r="I64" s="11">
        <f>SUM($E$57:E64)</f>
        <v>144.99661224489796</v>
      </c>
      <c r="J64" s="11">
        <f t="shared" si="8"/>
        <v>119</v>
      </c>
      <c r="K64" s="6" t="str">
        <f t="shared" si="9"/>
        <v>OK</v>
      </c>
      <c r="L64" s="10">
        <v>10090</v>
      </c>
      <c r="M64" s="24">
        <v>0.9</v>
      </c>
      <c r="N64" s="11">
        <f>SUM($L$57:L64)*M64</f>
        <v>46386</v>
      </c>
      <c r="O64" s="11">
        <f t="shared" si="10"/>
        <v>20990</v>
      </c>
      <c r="P64" s="25">
        <f t="shared" si="11"/>
        <v>0.45250722200663995</v>
      </c>
    </row>
    <row r="65" spans="1:16">
      <c r="A65" s="11">
        <v>9</v>
      </c>
      <c r="B65" s="11">
        <f t="shared" si="5"/>
        <v>1</v>
      </c>
      <c r="C65" s="13">
        <f>24*(탐험!$B$5+B65)</f>
        <v>96</v>
      </c>
      <c r="D65" s="12">
        <f>C65*탐험!$H$21</f>
        <v>106.4448</v>
      </c>
      <c r="E65" s="12">
        <f>C65*(탐험!$H$22+탐험!$C$27*탐험!$E$39)</f>
        <v>21.480979591836736</v>
      </c>
      <c r="F65" s="11">
        <f>SUM($D$57:D65)</f>
        <v>824.94719999999995</v>
      </c>
      <c r="G65" s="11">
        <f t="shared" si="6"/>
        <v>740</v>
      </c>
      <c r="H65" s="6" t="str">
        <f t="shared" si="7"/>
        <v>OK</v>
      </c>
      <c r="I65" s="11">
        <f>SUM($E$57:E65)</f>
        <v>166.47759183673469</v>
      </c>
      <c r="J65" s="11">
        <f t="shared" si="8"/>
        <v>136</v>
      </c>
      <c r="K65" s="6" t="str">
        <f t="shared" si="9"/>
        <v>OK</v>
      </c>
      <c r="L65" s="10">
        <v>10090</v>
      </c>
      <c r="M65" s="24">
        <v>0.9</v>
      </c>
      <c r="N65" s="11">
        <f>SUM($L$57:L65)*M65</f>
        <v>55467</v>
      </c>
      <c r="O65" s="11">
        <f t="shared" si="10"/>
        <v>23890</v>
      </c>
      <c r="P65" s="25">
        <f t="shared" si="11"/>
        <v>0.43070654623469812</v>
      </c>
    </row>
    <row r="66" spans="1:16">
      <c r="A66" s="11">
        <v>10</v>
      </c>
      <c r="B66" s="11">
        <f t="shared" si="5"/>
        <v>1</v>
      </c>
      <c r="C66" s="13">
        <f>24*(탐험!$B$5+B66)</f>
        <v>96</v>
      </c>
      <c r="D66" s="12">
        <f>C66*탐험!$H$21</f>
        <v>106.4448</v>
      </c>
      <c r="E66" s="12">
        <f>C66*(탐험!$H$22+탐험!$C$27*탐험!$E$39)</f>
        <v>21.480979591836736</v>
      </c>
      <c r="F66" s="11">
        <f>SUM($D$57:D66)</f>
        <v>931.39199999999994</v>
      </c>
      <c r="G66" s="11">
        <f t="shared" si="6"/>
        <v>915</v>
      </c>
      <c r="H66" s="6" t="str">
        <f t="shared" si="7"/>
        <v>OK</v>
      </c>
      <c r="I66" s="11">
        <f>SUM($E$57:E66)</f>
        <v>187.95857142857142</v>
      </c>
      <c r="J66" s="11">
        <f t="shared" si="8"/>
        <v>169</v>
      </c>
      <c r="K66" s="6" t="str">
        <f t="shared" si="9"/>
        <v>OK</v>
      </c>
      <c r="L66" s="10">
        <v>11370</v>
      </c>
      <c r="M66" s="24">
        <v>0.9</v>
      </c>
      <c r="N66" s="11">
        <f>SUM($L$57:L66)*M66</f>
        <v>65700</v>
      </c>
      <c r="O66" s="11">
        <f t="shared" si="10"/>
        <v>30690</v>
      </c>
      <c r="P66" s="25">
        <f t="shared" si="11"/>
        <v>0.4671232876712329</v>
      </c>
    </row>
    <row r="67" spans="1:16">
      <c r="A67" s="11">
        <v>11</v>
      </c>
      <c r="B67" s="11">
        <f t="shared" si="5"/>
        <v>2</v>
      </c>
      <c r="C67" s="13">
        <f>24*(탐험!$B$5+B67)</f>
        <v>120</v>
      </c>
      <c r="D67" s="12">
        <f>C67*탐험!$H$21</f>
        <v>133.05600000000001</v>
      </c>
      <c r="E67" s="12">
        <f>C67*(탐험!$H$22+탐험!$C$27*탐험!$E$39)</f>
        <v>26.851224489795918</v>
      </c>
      <c r="F67" s="11">
        <f>SUM($D$57:D67)</f>
        <v>1064.4479999999999</v>
      </c>
      <c r="G67" s="11">
        <f t="shared" si="6"/>
        <v>997</v>
      </c>
      <c r="H67" s="6" t="str">
        <f t="shared" si="7"/>
        <v>OK</v>
      </c>
      <c r="I67" s="11">
        <f>SUM($E$57:E67)</f>
        <v>214.80979591836734</v>
      </c>
      <c r="J67" s="11">
        <f t="shared" si="8"/>
        <v>188</v>
      </c>
      <c r="K67" s="6" t="str">
        <f t="shared" si="9"/>
        <v>OK</v>
      </c>
      <c r="L67" s="10">
        <v>11750</v>
      </c>
      <c r="M67" s="24">
        <v>0.9</v>
      </c>
      <c r="N67" s="11">
        <f>SUM($L$57:L67)*M67</f>
        <v>76275</v>
      </c>
      <c r="O67" s="11">
        <f t="shared" si="10"/>
        <v>34230</v>
      </c>
      <c r="P67" s="25">
        <f t="shared" si="11"/>
        <v>0.44877089478859389</v>
      </c>
    </row>
    <row r="68" spans="1:16">
      <c r="A68" s="11">
        <v>12</v>
      </c>
      <c r="B68" s="11">
        <f t="shared" si="5"/>
        <v>2</v>
      </c>
      <c r="C68" s="13">
        <f>24*(탐험!$B$5+B68)</f>
        <v>120</v>
      </c>
      <c r="D68" s="12">
        <f>C68*탐험!$H$21</f>
        <v>133.05600000000001</v>
      </c>
      <c r="E68" s="12">
        <f>C68*(탐험!$H$22+탐험!$C$27*탐험!$E$39)</f>
        <v>26.851224489795918</v>
      </c>
      <c r="F68" s="11">
        <f>SUM($D$57:D68)</f>
        <v>1197.5039999999999</v>
      </c>
      <c r="G68" s="11">
        <f t="shared" si="6"/>
        <v>1094</v>
      </c>
      <c r="H68" s="6" t="str">
        <f t="shared" si="7"/>
        <v>OK</v>
      </c>
      <c r="I68" s="11">
        <f>SUM($E$57:E68)</f>
        <v>241.66102040816327</v>
      </c>
      <c r="J68" s="11">
        <f t="shared" si="8"/>
        <v>214</v>
      </c>
      <c r="K68" s="6" t="str">
        <f t="shared" si="9"/>
        <v>OK</v>
      </c>
      <c r="L68" s="10">
        <v>11950</v>
      </c>
      <c r="M68" s="24">
        <v>0.9</v>
      </c>
      <c r="N68" s="11">
        <f>SUM($L$57:L68)*M68</f>
        <v>87030</v>
      </c>
      <c r="O68" s="11">
        <f t="shared" si="10"/>
        <v>38770</v>
      </c>
      <c r="P68" s="25">
        <f t="shared" si="11"/>
        <v>0.44547857060783635</v>
      </c>
    </row>
    <row r="69" spans="1:16">
      <c r="A69" s="11">
        <v>13</v>
      </c>
      <c r="B69" s="11">
        <f t="shared" si="5"/>
        <v>2</v>
      </c>
      <c r="C69" s="13">
        <f>24*(탐험!$B$5+B69)</f>
        <v>120</v>
      </c>
      <c r="D69" s="12">
        <f>C69*탐험!$H$21</f>
        <v>133.05600000000001</v>
      </c>
      <c r="E69" s="12">
        <f>C69*(탐험!$H$22+탐험!$C$27*탐험!$E$39)</f>
        <v>26.851224489795918</v>
      </c>
      <c r="F69" s="11">
        <f>SUM($D$57:D69)</f>
        <v>1330.56</v>
      </c>
      <c r="G69" s="11">
        <f t="shared" si="6"/>
        <v>1307</v>
      </c>
      <c r="H69" s="6" t="str">
        <f t="shared" si="7"/>
        <v>OK</v>
      </c>
      <c r="I69" s="11">
        <f>SUM($E$57:E69)</f>
        <v>268.51224489795919</v>
      </c>
      <c r="J69" s="11">
        <f t="shared" si="8"/>
        <v>256</v>
      </c>
      <c r="K69" s="6" t="str">
        <f t="shared" si="9"/>
        <v>OK</v>
      </c>
      <c r="L69" s="10">
        <v>12650</v>
      </c>
      <c r="M69" s="24">
        <v>0.9</v>
      </c>
      <c r="N69" s="11">
        <f>SUM($L$57:L69)*M69</f>
        <v>98415</v>
      </c>
      <c r="O69" s="11">
        <f t="shared" si="10"/>
        <v>47230</v>
      </c>
      <c r="P69" s="25">
        <f t="shared" si="11"/>
        <v>0.47990651831529746</v>
      </c>
    </row>
    <row r="70" spans="1:16">
      <c r="A70" s="11">
        <v>14</v>
      </c>
      <c r="B70" s="11">
        <f t="shared" si="5"/>
        <v>2</v>
      </c>
      <c r="C70" s="13">
        <f>24*(탐험!$B$5+B70)</f>
        <v>120</v>
      </c>
      <c r="D70" s="12">
        <f>C70*탐험!$H$21</f>
        <v>133.05600000000001</v>
      </c>
      <c r="E70" s="12">
        <f>C70*(탐험!$H$22+탐험!$C$27*탐험!$E$39)</f>
        <v>26.851224489795918</v>
      </c>
      <c r="F70" s="11">
        <f>SUM($D$57:D70)</f>
        <v>1463.616</v>
      </c>
      <c r="G70" s="11">
        <f t="shared" si="6"/>
        <v>1415</v>
      </c>
      <c r="H70" s="6" t="str">
        <f t="shared" si="7"/>
        <v>OK</v>
      </c>
      <c r="I70" s="11">
        <f>SUM($E$57:E70)</f>
        <v>295.36346938775512</v>
      </c>
      <c r="J70" s="11">
        <f t="shared" si="8"/>
        <v>277</v>
      </c>
      <c r="K70" s="6" t="str">
        <f t="shared" si="9"/>
        <v>OK</v>
      </c>
      <c r="L70" s="10">
        <v>14340</v>
      </c>
      <c r="M70" s="24">
        <v>0.9</v>
      </c>
      <c r="N70" s="11">
        <f>SUM($L$57:L70)*M70</f>
        <v>111321</v>
      </c>
      <c r="O70" s="11">
        <f t="shared" si="10"/>
        <v>51490</v>
      </c>
      <c r="P70" s="25">
        <f t="shared" si="11"/>
        <v>0.46253626898788192</v>
      </c>
    </row>
    <row r="71" spans="1:16">
      <c r="A71" s="11">
        <v>15</v>
      </c>
      <c r="B71" s="11">
        <f t="shared" si="5"/>
        <v>2</v>
      </c>
      <c r="C71" s="13">
        <f>24*(탐험!$B$5+B71)</f>
        <v>120</v>
      </c>
      <c r="D71" s="12">
        <f>C71*탐험!$H$21</f>
        <v>133.05600000000001</v>
      </c>
      <c r="E71" s="12">
        <f>C71*(탐험!$H$22+탐험!$C$27*탐험!$E$39)</f>
        <v>26.851224489795918</v>
      </c>
      <c r="F71" s="11">
        <f>SUM($D$57:D71)</f>
        <v>1596.672</v>
      </c>
      <c r="G71" s="11">
        <f t="shared" si="6"/>
        <v>1415</v>
      </c>
      <c r="H71" s="6" t="str">
        <f t="shared" si="7"/>
        <v>OK</v>
      </c>
      <c r="I71" s="11">
        <f>SUM($E$57:E71)</f>
        <v>322.21469387755104</v>
      </c>
      <c r="J71" s="11">
        <f t="shared" si="8"/>
        <v>277</v>
      </c>
      <c r="K71" s="6" t="str">
        <f t="shared" si="9"/>
        <v>OK</v>
      </c>
      <c r="L71" s="10">
        <v>14340</v>
      </c>
      <c r="M71" s="24">
        <v>0.9</v>
      </c>
      <c r="N71" s="11">
        <f>SUM($L$57:L71)*M71</f>
        <v>124227</v>
      </c>
      <c r="O71" s="11">
        <f t="shared" si="10"/>
        <v>51490</v>
      </c>
      <c r="P71" s="25">
        <f t="shared" si="11"/>
        <v>0.41448316388546774</v>
      </c>
    </row>
    <row r="72" spans="1:16">
      <c r="A72" s="11">
        <v>16</v>
      </c>
      <c r="B72" s="11">
        <f t="shared" si="5"/>
        <v>2</v>
      </c>
      <c r="C72" s="13">
        <f>24*(탐험!$B$5+B72)</f>
        <v>120</v>
      </c>
      <c r="D72" s="12">
        <f>C72*탐험!$H$21</f>
        <v>133.05600000000001</v>
      </c>
      <c r="E72" s="12">
        <f>C72*(탐험!$H$22+탐험!$C$27*탐험!$E$39)</f>
        <v>26.851224489795918</v>
      </c>
      <c r="F72" s="11">
        <f>SUM($D$57:D72)</f>
        <v>1729.7280000000001</v>
      </c>
      <c r="G72" s="11">
        <f t="shared" si="6"/>
        <v>1415</v>
      </c>
      <c r="H72" s="6" t="str">
        <f t="shared" si="7"/>
        <v>OK</v>
      </c>
      <c r="I72" s="11">
        <f>SUM($E$57:E72)</f>
        <v>349.06591836734697</v>
      </c>
      <c r="J72" s="11">
        <f t="shared" si="8"/>
        <v>277</v>
      </c>
      <c r="K72" s="6" t="str">
        <f t="shared" si="9"/>
        <v>OK</v>
      </c>
      <c r="L72" s="10">
        <v>14340</v>
      </c>
      <c r="M72" s="24">
        <v>0.9</v>
      </c>
      <c r="N72" s="11">
        <f>SUM($L$57:L72)*M72</f>
        <v>137133</v>
      </c>
      <c r="O72" s="11">
        <f t="shared" si="10"/>
        <v>51490</v>
      </c>
      <c r="P72" s="25">
        <f t="shared" si="11"/>
        <v>0.37547490392538629</v>
      </c>
    </row>
    <row r="73" spans="1:16">
      <c r="A73" s="11">
        <v>17</v>
      </c>
      <c r="B73" s="11">
        <f t="shared" si="5"/>
        <v>2</v>
      </c>
      <c r="C73" s="13">
        <f>24*(탐험!$B$5+B73)</f>
        <v>120</v>
      </c>
      <c r="D73" s="12">
        <f>C73*탐험!$H$21</f>
        <v>133.05600000000001</v>
      </c>
      <c r="E73" s="12">
        <f>C73*(탐험!$H$22+탐험!$C$27*탐험!$E$39)</f>
        <v>26.851224489795918</v>
      </c>
      <c r="F73" s="11">
        <f>SUM($D$57:D73)</f>
        <v>1862.7840000000001</v>
      </c>
      <c r="G73" s="11">
        <f t="shared" si="6"/>
        <v>1415</v>
      </c>
      <c r="H73" s="6" t="str">
        <f t="shared" si="7"/>
        <v>OK</v>
      </c>
      <c r="I73" s="11">
        <f>SUM($E$57:E73)</f>
        <v>375.91714285714289</v>
      </c>
      <c r="J73" s="11">
        <f t="shared" si="8"/>
        <v>277</v>
      </c>
      <c r="K73" s="6" t="str">
        <f t="shared" si="9"/>
        <v>OK</v>
      </c>
      <c r="L73" s="10">
        <v>14340</v>
      </c>
      <c r="M73" s="24">
        <v>0.9</v>
      </c>
      <c r="N73" s="11">
        <f>SUM($L$57:L73)*M73</f>
        <v>150039</v>
      </c>
      <c r="O73" s="11">
        <f t="shared" si="10"/>
        <v>51490</v>
      </c>
      <c r="P73" s="25">
        <f t="shared" si="11"/>
        <v>0.34317744053212829</v>
      </c>
    </row>
    <row r="74" spans="1:16">
      <c r="A74" s="11">
        <v>18</v>
      </c>
      <c r="B74" s="11">
        <f t="shared" si="5"/>
        <v>2</v>
      </c>
      <c r="C74" s="13">
        <f>24*(탐험!$B$5+B74)</f>
        <v>120</v>
      </c>
      <c r="D74" s="12">
        <f>C74*탐험!$H$21</f>
        <v>133.05600000000001</v>
      </c>
      <c r="E74" s="12">
        <f>C74*(탐험!$H$22+탐험!$C$27*탐험!$E$39)</f>
        <v>26.851224489795918</v>
      </c>
      <c r="F74" s="11">
        <f>SUM($D$57:D74)</f>
        <v>1995.8400000000001</v>
      </c>
      <c r="G74" s="11">
        <f t="shared" si="6"/>
        <v>1415</v>
      </c>
      <c r="H74" s="6" t="str">
        <f t="shared" si="7"/>
        <v>OK</v>
      </c>
      <c r="I74" s="11">
        <f>SUM($E$57:E74)</f>
        <v>402.76836734693882</v>
      </c>
      <c r="J74" s="11">
        <f t="shared" si="8"/>
        <v>277</v>
      </c>
      <c r="K74" s="6" t="str">
        <f t="shared" si="9"/>
        <v>OK</v>
      </c>
      <c r="L74" s="10">
        <v>14340</v>
      </c>
      <c r="M74" s="24">
        <v>0.9</v>
      </c>
      <c r="N74" s="11">
        <f>SUM($L$57:L74)*M74</f>
        <v>162945</v>
      </c>
      <c r="O74" s="11">
        <f t="shared" si="10"/>
        <v>51490</v>
      </c>
      <c r="P74" s="25">
        <f t="shared" si="11"/>
        <v>0.31599619503513454</v>
      </c>
    </row>
    <row r="75" spans="1:16">
      <c r="A75" s="11">
        <v>19</v>
      </c>
      <c r="B75" s="11">
        <f t="shared" si="5"/>
        <v>2</v>
      </c>
      <c r="C75" s="13">
        <f>24*(탐험!$B$5+B75)</f>
        <v>120</v>
      </c>
      <c r="D75" s="12">
        <f>C75*탐험!$H$21</f>
        <v>133.05600000000001</v>
      </c>
      <c r="E75" s="12">
        <f>C75*(탐험!$H$22+탐험!$C$27*탐험!$E$39)</f>
        <v>26.851224489795918</v>
      </c>
      <c r="F75" s="11">
        <f>SUM($D$57:D75)</f>
        <v>2128.8960000000002</v>
      </c>
      <c r="G75" s="11">
        <f t="shared" si="6"/>
        <v>1415</v>
      </c>
      <c r="H75" s="6" t="str">
        <f t="shared" si="7"/>
        <v>OK</v>
      </c>
      <c r="I75" s="11">
        <f>SUM($E$57:E75)</f>
        <v>429.61959183673474</v>
      </c>
      <c r="J75" s="11">
        <f t="shared" si="8"/>
        <v>277</v>
      </c>
      <c r="K75" s="6" t="str">
        <f t="shared" si="9"/>
        <v>OK</v>
      </c>
      <c r="L75" s="10">
        <v>14340</v>
      </c>
      <c r="M75" s="24">
        <v>0.9</v>
      </c>
      <c r="N75" s="11">
        <f>SUM($L$57:L75)*M75</f>
        <v>175851</v>
      </c>
      <c r="O75" s="11">
        <f t="shared" si="10"/>
        <v>51490</v>
      </c>
      <c r="P75" s="25">
        <f t="shared" si="11"/>
        <v>0.2928047039823487</v>
      </c>
    </row>
    <row r="76" spans="1:16">
      <c r="A76" s="11">
        <v>20</v>
      </c>
      <c r="B76" s="11">
        <f t="shared" si="5"/>
        <v>2</v>
      </c>
      <c r="C76" s="13">
        <f>24*(탐험!$B$5+B76)</f>
        <v>120</v>
      </c>
      <c r="D76" s="12">
        <f>C76*탐험!$H$21</f>
        <v>133.05600000000001</v>
      </c>
      <c r="E76" s="12">
        <f>C76*(탐험!$H$22+탐험!$C$27*탐험!$E$39)</f>
        <v>26.851224489795918</v>
      </c>
      <c r="F76" s="11">
        <f>SUM($D$57:D76)</f>
        <v>2261.9520000000002</v>
      </c>
      <c r="G76" s="11">
        <f t="shared" si="6"/>
        <v>1415</v>
      </c>
      <c r="H76" s="6" t="str">
        <f t="shared" si="7"/>
        <v>OK</v>
      </c>
      <c r="I76" s="11">
        <f>SUM($E$57:E76)</f>
        <v>456.47081632653067</v>
      </c>
      <c r="J76" s="11">
        <f t="shared" si="8"/>
        <v>277</v>
      </c>
      <c r="K76" s="6" t="str">
        <f t="shared" si="9"/>
        <v>OK</v>
      </c>
      <c r="L76" s="10">
        <v>14340</v>
      </c>
      <c r="M76" s="24">
        <v>0.9</v>
      </c>
      <c r="N76" s="11">
        <f>SUM($L$57:L76)*M76</f>
        <v>188757</v>
      </c>
      <c r="O76" s="11">
        <f t="shared" si="10"/>
        <v>51490</v>
      </c>
      <c r="P76" s="25">
        <f t="shared" si="11"/>
        <v>0.27278458547232687</v>
      </c>
    </row>
    <row r="77" spans="1:16">
      <c r="A77" s="11">
        <v>21</v>
      </c>
      <c r="B77" s="11">
        <f t="shared" si="5"/>
        <v>2</v>
      </c>
      <c r="C77" s="13">
        <f>24*(탐험!$B$5+B77)</f>
        <v>120</v>
      </c>
      <c r="D77" s="12">
        <f>C77*탐험!$H$21</f>
        <v>133.05600000000001</v>
      </c>
      <c r="E77" s="12">
        <f>C77*(탐험!$H$22+탐험!$C$27*탐험!$E$39)</f>
        <v>26.851224489795918</v>
      </c>
      <c r="F77" s="11">
        <f>SUM($D$57:D77)</f>
        <v>2395.0080000000003</v>
      </c>
      <c r="G77" s="11">
        <f t="shared" si="6"/>
        <v>1415</v>
      </c>
      <c r="H77" s="6" t="str">
        <f t="shared" si="7"/>
        <v>OK</v>
      </c>
      <c r="I77" s="11">
        <f>SUM($E$57:E77)</f>
        <v>483.32204081632659</v>
      </c>
      <c r="J77" s="11">
        <f t="shared" si="8"/>
        <v>277</v>
      </c>
      <c r="K77" s="6" t="str">
        <f t="shared" si="9"/>
        <v>OK</v>
      </c>
      <c r="L77" s="10">
        <v>14340</v>
      </c>
      <c r="M77" s="24">
        <v>0.9</v>
      </c>
      <c r="N77" s="11">
        <f>SUM($L$57:L77)*M77</f>
        <v>201663</v>
      </c>
      <c r="O77" s="11">
        <f t="shared" si="10"/>
        <v>51490</v>
      </c>
      <c r="P77" s="25">
        <f t="shared" si="11"/>
        <v>0.25532695635788422</v>
      </c>
    </row>
    <row r="78" spans="1:16">
      <c r="A78" s="11">
        <v>22</v>
      </c>
      <c r="B78" s="11">
        <f t="shared" si="5"/>
        <v>2</v>
      </c>
      <c r="C78" s="13">
        <f>24*(탐험!$B$5+B78)</f>
        <v>120</v>
      </c>
      <c r="D78" s="12">
        <f>C78*탐험!$H$21</f>
        <v>133.05600000000001</v>
      </c>
      <c r="E78" s="12">
        <f>C78*(탐험!$H$22+탐험!$C$27*탐험!$E$39)</f>
        <v>26.851224489795918</v>
      </c>
      <c r="F78" s="11">
        <f>SUM($D$57:D78)</f>
        <v>2528.0640000000003</v>
      </c>
      <c r="G78" s="11">
        <f t="shared" si="6"/>
        <v>1415</v>
      </c>
      <c r="H78" s="6" t="str">
        <f t="shared" si="7"/>
        <v>OK</v>
      </c>
      <c r="I78" s="11">
        <f>SUM($E$57:E78)</f>
        <v>510.17326530612252</v>
      </c>
      <c r="J78" s="11">
        <f t="shared" si="8"/>
        <v>277</v>
      </c>
      <c r="K78" s="6" t="str">
        <f t="shared" si="9"/>
        <v>OK</v>
      </c>
      <c r="L78" s="10">
        <v>14340</v>
      </c>
      <c r="M78" s="24">
        <v>0.9</v>
      </c>
      <c r="N78" s="11">
        <f>SUM($L$57:L78)*M78</f>
        <v>214569</v>
      </c>
      <c r="O78" s="11">
        <f t="shared" si="10"/>
        <v>51490</v>
      </c>
      <c r="P78" s="25">
        <f t="shared" si="11"/>
        <v>0.23996942708406155</v>
      </c>
    </row>
    <row r="79" spans="1:16">
      <c r="A79" s="11">
        <v>23</v>
      </c>
      <c r="B79" s="11">
        <f t="shared" si="5"/>
        <v>2</v>
      </c>
      <c r="C79" s="13">
        <f>24*(탐험!$B$5+B79)</f>
        <v>120</v>
      </c>
      <c r="D79" s="12">
        <f>C79*탐험!$H$21</f>
        <v>133.05600000000001</v>
      </c>
      <c r="E79" s="12">
        <f>C79*(탐험!$H$22+탐험!$C$27*탐험!$E$39)</f>
        <v>26.851224489795918</v>
      </c>
      <c r="F79" s="11">
        <f>SUM($D$57:D79)</f>
        <v>2661.1200000000003</v>
      </c>
      <c r="G79" s="11">
        <f t="shared" si="6"/>
        <v>1415</v>
      </c>
      <c r="H79" s="6" t="str">
        <f t="shared" si="7"/>
        <v>OK</v>
      </c>
      <c r="I79" s="11">
        <f>SUM($E$57:E79)</f>
        <v>537.02448979591838</v>
      </c>
      <c r="J79" s="11">
        <f t="shared" si="8"/>
        <v>277</v>
      </c>
      <c r="K79" s="6" t="str">
        <f t="shared" si="9"/>
        <v>OK</v>
      </c>
      <c r="L79" s="10">
        <v>14340</v>
      </c>
      <c r="M79" s="24">
        <v>0.9</v>
      </c>
      <c r="N79" s="11">
        <f>SUM($L$57:L79)*M79</f>
        <v>227475</v>
      </c>
      <c r="O79" s="11">
        <f t="shared" si="10"/>
        <v>51490</v>
      </c>
      <c r="P79" s="25">
        <f t="shared" si="11"/>
        <v>0.22635454445543465</v>
      </c>
    </row>
    <row r="80" spans="1:16">
      <c r="A80" s="11">
        <v>24</v>
      </c>
      <c r="B80" s="11">
        <f t="shared" si="5"/>
        <v>2</v>
      </c>
      <c r="C80" s="13">
        <f>24*(탐험!$B$5+B80)</f>
        <v>120</v>
      </c>
      <c r="D80" s="12">
        <f>C80*탐험!$H$21</f>
        <v>133.05600000000001</v>
      </c>
      <c r="E80" s="12">
        <f>C80*(탐험!$H$22+탐험!$C$27*탐험!$E$39)</f>
        <v>26.851224489795918</v>
      </c>
      <c r="F80" s="11">
        <f>SUM($D$57:D80)</f>
        <v>2794.1760000000004</v>
      </c>
      <c r="G80" s="11">
        <f t="shared" si="6"/>
        <v>1415</v>
      </c>
      <c r="H80" s="6" t="str">
        <f t="shared" si="7"/>
        <v>OK</v>
      </c>
      <c r="I80" s="11">
        <f>SUM($E$57:E80)</f>
        <v>563.87571428571425</v>
      </c>
      <c r="J80" s="11">
        <f t="shared" si="8"/>
        <v>277</v>
      </c>
      <c r="K80" s="6" t="str">
        <f t="shared" si="9"/>
        <v>OK</v>
      </c>
      <c r="L80" s="10">
        <v>14340</v>
      </c>
      <c r="M80" s="24">
        <v>0.9</v>
      </c>
      <c r="N80" s="11">
        <f>SUM($L$57:L80)*M80</f>
        <v>240381</v>
      </c>
      <c r="O80" s="11">
        <f t="shared" si="10"/>
        <v>51490</v>
      </c>
      <c r="P80" s="25">
        <f t="shared" si="11"/>
        <v>0.21420162159238876</v>
      </c>
    </row>
    <row r="81" spans="1:16">
      <c r="A81" s="11">
        <v>25</v>
      </c>
      <c r="B81" s="11">
        <f t="shared" si="5"/>
        <v>2</v>
      </c>
      <c r="C81" s="13">
        <f>24*(탐험!$B$5+B81)</f>
        <v>120</v>
      </c>
      <c r="D81" s="12">
        <f>C81*탐험!$H$21</f>
        <v>133.05600000000001</v>
      </c>
      <c r="E81" s="12">
        <f>C81*(탐험!$H$22+탐험!$C$27*탐험!$E$39)</f>
        <v>26.851224489795918</v>
      </c>
      <c r="F81" s="11">
        <f>SUM($D$57:D81)</f>
        <v>2927.2320000000004</v>
      </c>
      <c r="G81" s="11">
        <f t="shared" si="6"/>
        <v>1415</v>
      </c>
      <c r="H81" s="6" t="str">
        <f t="shared" si="7"/>
        <v>OK</v>
      </c>
      <c r="I81" s="11">
        <f>SUM($E$57:E81)</f>
        <v>590.72693877551012</v>
      </c>
      <c r="J81" s="11">
        <f t="shared" si="8"/>
        <v>277</v>
      </c>
      <c r="K81" s="6" t="str">
        <f t="shared" si="9"/>
        <v>OK</v>
      </c>
      <c r="L81" s="10">
        <v>14340</v>
      </c>
      <c r="M81" s="24">
        <v>0.9</v>
      </c>
      <c r="N81" s="11">
        <f>SUM($L$57:L81)*M81</f>
        <v>253287</v>
      </c>
      <c r="O81" s="11">
        <f t="shared" si="10"/>
        <v>51490</v>
      </c>
      <c r="P81" s="25">
        <f t="shared" si="11"/>
        <v>0.20328718015531788</v>
      </c>
    </row>
    <row r="82" spans="1:16">
      <c r="A82" s="11">
        <v>26</v>
      </c>
      <c r="B82" s="11">
        <f t="shared" si="5"/>
        <v>2</v>
      </c>
      <c r="C82" s="13">
        <f>24*(탐험!$B$5+B82)</f>
        <v>120</v>
      </c>
      <c r="D82" s="12">
        <f>C82*탐험!$H$21</f>
        <v>133.05600000000001</v>
      </c>
      <c r="E82" s="12">
        <f>C82*(탐험!$H$22+탐험!$C$27*탐험!$E$39)</f>
        <v>26.851224489795918</v>
      </c>
      <c r="F82" s="11">
        <f>SUM($D$57:D82)</f>
        <v>3060.2880000000005</v>
      </c>
      <c r="G82" s="11">
        <f t="shared" si="6"/>
        <v>1415</v>
      </c>
      <c r="H82" s="6" t="str">
        <f t="shared" si="7"/>
        <v>OK</v>
      </c>
      <c r="I82" s="11">
        <f>SUM($E$57:E82)</f>
        <v>617.57816326530599</v>
      </c>
      <c r="J82" s="11">
        <f t="shared" si="8"/>
        <v>277</v>
      </c>
      <c r="K82" s="6" t="str">
        <f t="shared" si="9"/>
        <v>OK</v>
      </c>
      <c r="L82" s="10">
        <v>14340</v>
      </c>
      <c r="M82" s="24">
        <v>0.9</v>
      </c>
      <c r="N82" s="11">
        <f>SUM($L$57:L82)*M82</f>
        <v>266193</v>
      </c>
      <c r="O82" s="11">
        <f t="shared" si="10"/>
        <v>51490</v>
      </c>
      <c r="P82" s="25">
        <f t="shared" si="11"/>
        <v>0.19343108195933026</v>
      </c>
    </row>
    <row r="83" spans="1:16">
      <c r="A83" s="11">
        <v>27</v>
      </c>
      <c r="B83" s="11">
        <f t="shared" si="5"/>
        <v>2</v>
      </c>
      <c r="C83" s="13">
        <f>24*(탐험!$B$5+B83)</f>
        <v>120</v>
      </c>
      <c r="D83" s="12">
        <f>C83*탐험!$H$21</f>
        <v>133.05600000000001</v>
      </c>
      <c r="E83" s="12">
        <f>C83*(탐험!$H$22+탐험!$C$27*탐험!$E$39)</f>
        <v>26.851224489795918</v>
      </c>
      <c r="F83" s="11">
        <f>SUM($D$57:D83)</f>
        <v>3193.3440000000005</v>
      </c>
      <c r="G83" s="11">
        <f t="shared" si="6"/>
        <v>1415</v>
      </c>
      <c r="H83" s="6" t="str">
        <f t="shared" si="7"/>
        <v>OK</v>
      </c>
      <c r="I83" s="11">
        <f>SUM($E$57:E83)</f>
        <v>644.42938775510186</v>
      </c>
      <c r="J83" s="11">
        <f t="shared" si="8"/>
        <v>277</v>
      </c>
      <c r="K83" s="6" t="str">
        <f t="shared" si="9"/>
        <v>OK</v>
      </c>
      <c r="L83" s="10">
        <v>14340</v>
      </c>
      <c r="M83" s="24">
        <v>0.9</v>
      </c>
      <c r="N83" s="11">
        <f>SUM($L$57:L83)*M83</f>
        <v>279099</v>
      </c>
      <c r="O83" s="11">
        <f t="shared" si="10"/>
        <v>51490</v>
      </c>
      <c r="P83" s="25">
        <f t="shared" si="11"/>
        <v>0.1844865083715814</v>
      </c>
    </row>
    <row r="84" spans="1:16">
      <c r="A84" s="11">
        <v>28</v>
      </c>
      <c r="B84" s="11">
        <f t="shared" si="5"/>
        <v>2</v>
      </c>
      <c r="C84" s="13">
        <f>24*(탐험!$B$5+B84)</f>
        <v>120</v>
      </c>
      <c r="D84" s="12">
        <f>C84*탐험!$H$21</f>
        <v>133.05600000000001</v>
      </c>
      <c r="E84" s="12">
        <f>C84*(탐험!$H$22+탐험!$C$27*탐험!$E$39)</f>
        <v>26.851224489795918</v>
      </c>
      <c r="F84" s="11">
        <f>SUM($D$57:D84)</f>
        <v>3326.4000000000005</v>
      </c>
      <c r="G84" s="11">
        <f t="shared" si="6"/>
        <v>1415</v>
      </c>
      <c r="H84" s="6" t="str">
        <f t="shared" si="7"/>
        <v>OK</v>
      </c>
      <c r="I84" s="11">
        <f>SUM($E$57:E84)</f>
        <v>671.28061224489772</v>
      </c>
      <c r="J84" s="11">
        <f t="shared" si="8"/>
        <v>277</v>
      </c>
      <c r="K84" s="6" t="str">
        <f t="shared" si="9"/>
        <v>OK</v>
      </c>
      <c r="L84" s="10">
        <v>14340</v>
      </c>
      <c r="M84" s="24">
        <v>0.9</v>
      </c>
      <c r="N84" s="11">
        <f>SUM($L$57:L84)*M84</f>
        <v>292005</v>
      </c>
      <c r="O84" s="11">
        <f t="shared" si="10"/>
        <v>51490</v>
      </c>
      <c r="P84" s="25">
        <f t="shared" si="11"/>
        <v>0.17633259704457116</v>
      </c>
    </row>
    <row r="85" spans="1:16">
      <c r="A85" s="11">
        <v>29</v>
      </c>
      <c r="B85" s="11">
        <f t="shared" si="5"/>
        <v>2</v>
      </c>
      <c r="C85" s="13">
        <f>24*(탐험!$B$5+B85)</f>
        <v>120</v>
      </c>
      <c r="D85" s="12">
        <f>C85*탐험!$H$21</f>
        <v>133.05600000000001</v>
      </c>
      <c r="E85" s="12">
        <f>C85*(탐험!$H$22+탐험!$C$27*탐험!$E$39)</f>
        <v>26.851224489795918</v>
      </c>
      <c r="F85" s="11">
        <f>SUM($D$57:D85)</f>
        <v>3459.4560000000006</v>
      </c>
      <c r="G85" s="11">
        <f t="shared" si="6"/>
        <v>1415</v>
      </c>
      <c r="H85" s="6" t="str">
        <f t="shared" si="7"/>
        <v>OK</v>
      </c>
      <c r="I85" s="11">
        <f>SUM($E$57:E85)</f>
        <v>698.13183673469359</v>
      </c>
      <c r="J85" s="11">
        <f t="shared" si="8"/>
        <v>277</v>
      </c>
      <c r="K85" s="6" t="str">
        <f t="shared" si="9"/>
        <v>OK</v>
      </c>
      <c r="L85" s="10">
        <v>14340</v>
      </c>
      <c r="M85" s="24">
        <v>0.9</v>
      </c>
      <c r="N85" s="11">
        <f>SUM($L$57:L85)*M85</f>
        <v>304911</v>
      </c>
      <c r="O85" s="11">
        <f t="shared" si="10"/>
        <v>51490</v>
      </c>
      <c r="P85" s="25">
        <f t="shared" si="11"/>
        <v>0.16886894864403054</v>
      </c>
    </row>
    <row r="86" spans="1:16">
      <c r="A86" s="11">
        <v>30</v>
      </c>
      <c r="B86" s="11">
        <f t="shared" si="5"/>
        <v>2</v>
      </c>
      <c r="C86" s="13">
        <f>24*(탐험!$B$5+B86)</f>
        <v>120</v>
      </c>
      <c r="D86" s="12">
        <f>C86*탐험!$H$21</f>
        <v>133.05600000000001</v>
      </c>
      <c r="E86" s="12">
        <f>C86*(탐험!$H$22+탐험!$C$27*탐험!$E$39)</f>
        <v>26.851224489795918</v>
      </c>
      <c r="F86" s="11">
        <f>SUM($D$57:D86)</f>
        <v>3592.5120000000006</v>
      </c>
      <c r="G86" s="11">
        <f t="shared" si="6"/>
        <v>1415</v>
      </c>
      <c r="H86" s="6" t="str">
        <f t="shared" si="7"/>
        <v>OK</v>
      </c>
      <c r="I86" s="11">
        <f>SUM($E$57:E86)</f>
        <v>724.98306122448946</v>
      </c>
      <c r="J86" s="11">
        <f t="shared" si="8"/>
        <v>277</v>
      </c>
      <c r="K86" s="6" t="str">
        <f t="shared" si="9"/>
        <v>OK</v>
      </c>
      <c r="L86" s="10">
        <v>14340</v>
      </c>
      <c r="M86" s="24">
        <v>0.9</v>
      </c>
      <c r="N86" s="11">
        <f>SUM($L$57:L86)*M86</f>
        <v>317817</v>
      </c>
      <c r="O86" s="11">
        <f t="shared" si="10"/>
        <v>51490</v>
      </c>
      <c r="P86" s="25">
        <f t="shared" si="11"/>
        <v>0.16201147201062246</v>
      </c>
    </row>
    <row r="87" spans="1:16">
      <c r="A87" s="11">
        <v>31</v>
      </c>
      <c r="B87" s="11">
        <f t="shared" si="5"/>
        <v>2</v>
      </c>
      <c r="C87" s="13">
        <f>24*(탐험!$B$5+B87)</f>
        <v>120</v>
      </c>
      <c r="D87" s="12">
        <f>C87*탐험!$H$21</f>
        <v>133.05600000000001</v>
      </c>
      <c r="E87" s="12">
        <f>C87*(탐험!$H$22+탐험!$C$27*탐험!$E$39)</f>
        <v>26.851224489795918</v>
      </c>
      <c r="F87" s="11">
        <f>SUM($D$57:D87)</f>
        <v>3725.5680000000007</v>
      </c>
      <c r="G87" s="11">
        <f t="shared" si="6"/>
        <v>1415</v>
      </c>
      <c r="H87" s="6" t="str">
        <f t="shared" si="7"/>
        <v>OK</v>
      </c>
      <c r="I87" s="11">
        <f>SUM($E$57:E87)</f>
        <v>751.83428571428533</v>
      </c>
      <c r="J87" s="11">
        <f t="shared" si="8"/>
        <v>277</v>
      </c>
      <c r="K87" s="6" t="str">
        <f t="shared" si="9"/>
        <v>OK</v>
      </c>
      <c r="L87" s="10">
        <v>14340</v>
      </c>
      <c r="M87" s="24">
        <v>0.9</v>
      </c>
      <c r="N87" s="11">
        <f>SUM($L$57:L87)*M87</f>
        <v>330723</v>
      </c>
      <c r="O87" s="11">
        <f t="shared" si="10"/>
        <v>51490</v>
      </c>
      <c r="P87" s="25">
        <f t="shared" si="11"/>
        <v>0.15568920214197379</v>
      </c>
    </row>
    <row r="89" spans="1:16">
      <c r="A89" s="3" t="s">
        <v>343</v>
      </c>
    </row>
    <row r="90" spans="1:16">
      <c r="A90" s="6" t="s">
        <v>109</v>
      </c>
      <c r="B90" s="11">
        <f>F87-F70</f>
        <v>2261.9520000000007</v>
      </c>
    </row>
    <row r="91" spans="1:16">
      <c r="A91" s="6" t="s">
        <v>123</v>
      </c>
      <c r="B91" s="11">
        <f>I87-I70</f>
        <v>456.47081632653021</v>
      </c>
    </row>
    <row r="92" spans="1:16">
      <c r="A92" s="6" t="s">
        <v>344</v>
      </c>
      <c r="B92" s="11">
        <f>N87-O87</f>
        <v>279233</v>
      </c>
    </row>
    <row r="94" spans="1:16">
      <c r="A94" s="2" t="s">
        <v>345</v>
      </c>
    </row>
    <row r="95" spans="1:16">
      <c r="A95" s="2" t="s">
        <v>346</v>
      </c>
    </row>
    <row r="96" spans="1:16">
      <c r="A96" s="2" t="s">
        <v>347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5"/>
  <sheetViews>
    <sheetView showGridLines="0" workbookViewId="0"/>
  </sheetViews>
  <sheetFormatPr defaultRowHeight="16.5"/>
  <cols>
    <col min="1" max="1" width="30" customWidth="1"/>
    <col min="2" max="2" width="14" customWidth="1"/>
    <col min="3" max="5" width="10" customWidth="1"/>
    <col min="6" max="9" width="8" customWidth="1"/>
    <col min="10" max="10" width="10" customWidth="1"/>
    <col min="11" max="11" width="14" customWidth="1"/>
  </cols>
  <sheetData>
    <row r="1" spans="1:5" ht="20.25">
      <c r="A1" s="1" t="s">
        <v>348</v>
      </c>
    </row>
    <row r="2" spans="1:5">
      <c r="A2" s="2" t="s">
        <v>349</v>
      </c>
    </row>
    <row r="4" spans="1:5">
      <c r="A4" s="8" t="s">
        <v>350</v>
      </c>
      <c r="B4" s="8" t="s">
        <v>351</v>
      </c>
      <c r="C4" s="8" t="s">
        <v>352</v>
      </c>
      <c r="D4" s="8" t="s">
        <v>353</v>
      </c>
      <c r="E4" s="8" t="s">
        <v>354</v>
      </c>
    </row>
    <row r="5" spans="1:5">
      <c r="A5" s="6" t="s">
        <v>157</v>
      </c>
      <c r="B5" s="10">
        <v>10</v>
      </c>
      <c r="C5" s="10">
        <v>0</v>
      </c>
      <c r="D5" s="10">
        <v>1</v>
      </c>
      <c r="E5" s="13">
        <f>COUNTIF('요리 목록'!$B$5:$B$104,A5)</f>
        <v>40</v>
      </c>
    </row>
    <row r="6" spans="1:5">
      <c r="A6" s="6" t="s">
        <v>158</v>
      </c>
      <c r="B6" s="10">
        <v>30</v>
      </c>
      <c r="C6" s="10">
        <v>5</v>
      </c>
      <c r="D6" s="10">
        <v>2</v>
      </c>
      <c r="E6" s="13">
        <f>COUNTIF('요리 목록'!$B$5:$B$104,A6)</f>
        <v>30</v>
      </c>
    </row>
    <row r="7" spans="1:5">
      <c r="A7" s="6" t="s">
        <v>159</v>
      </c>
      <c r="B7" s="10">
        <v>150</v>
      </c>
      <c r="C7" s="10">
        <v>10</v>
      </c>
      <c r="D7" s="10">
        <v>2</v>
      </c>
      <c r="E7" s="13">
        <f>COUNTIF('요리 목록'!$B$5:$B$104,A7)</f>
        <v>20</v>
      </c>
    </row>
    <row r="8" spans="1:5">
      <c r="A8" s="6" t="s">
        <v>160</v>
      </c>
      <c r="B8" s="10">
        <v>1000</v>
      </c>
      <c r="C8" s="10">
        <v>15</v>
      </c>
      <c r="D8" s="10">
        <v>1</v>
      </c>
      <c r="E8" s="13">
        <f>COUNTIF('요리 목록'!$B$5:$B$104,A8)</f>
        <v>10</v>
      </c>
    </row>
    <row r="9" spans="1:5">
      <c r="A9" s="6" t="s">
        <v>161</v>
      </c>
      <c r="D9" s="11">
        <f>SUM(D5:D8)</f>
        <v>6</v>
      </c>
      <c r="E9" s="11">
        <f>SUM(E5:E8)</f>
        <v>100</v>
      </c>
    </row>
    <row r="11" spans="1:5">
      <c r="A11" s="6" t="s">
        <v>355</v>
      </c>
      <c r="B11" s="24">
        <v>0.1</v>
      </c>
    </row>
    <row r="12" spans="1:5">
      <c r="A12" s="2" t="s">
        <v>356</v>
      </c>
    </row>
    <row r="14" spans="1:5">
      <c r="A14" s="8" t="s">
        <v>357</v>
      </c>
      <c r="B14" s="8" t="s">
        <v>358</v>
      </c>
    </row>
    <row r="15" spans="1:5">
      <c r="A15" s="6" t="s">
        <v>359</v>
      </c>
      <c r="B15" s="10">
        <v>1</v>
      </c>
    </row>
    <row r="16" spans="1:5">
      <c r="A16" s="6" t="s">
        <v>360</v>
      </c>
      <c r="B16" s="10">
        <v>5</v>
      </c>
    </row>
    <row r="17" spans="1:11">
      <c r="A17" s="6" t="s">
        <v>361</v>
      </c>
      <c r="B17" s="10">
        <v>30</v>
      </c>
    </row>
    <row r="18" spans="1:11">
      <c r="A18" s="6" t="s">
        <v>362</v>
      </c>
      <c r="B18" s="10">
        <v>200</v>
      </c>
    </row>
    <row r="20" spans="1:11">
      <c r="A20" s="8" t="s">
        <v>363</v>
      </c>
      <c r="B20" s="8" t="s">
        <v>101</v>
      </c>
    </row>
    <row r="21" spans="1:11">
      <c r="A21" s="6" t="s">
        <v>364</v>
      </c>
      <c r="B21" s="10">
        <v>25</v>
      </c>
    </row>
    <row r="22" spans="1:11">
      <c r="A22" s="6" t="s">
        <v>365</v>
      </c>
      <c r="B22" s="24">
        <v>0.05</v>
      </c>
    </row>
    <row r="23" spans="1:11">
      <c r="A23" s="6" t="s">
        <v>366</v>
      </c>
      <c r="B23" s="24">
        <v>0.95</v>
      </c>
    </row>
    <row r="24" spans="1:11">
      <c r="A24" s="2" t="s">
        <v>367</v>
      </c>
    </row>
    <row r="26" spans="1:11" ht="30" customHeight="1">
      <c r="A26" s="8" t="s">
        <v>350</v>
      </c>
      <c r="B26" s="8" t="s">
        <v>368</v>
      </c>
      <c r="C26" s="8" t="s">
        <v>369</v>
      </c>
      <c r="D26" s="8" t="s">
        <v>370</v>
      </c>
      <c r="E26" s="8" t="s">
        <v>371</v>
      </c>
      <c r="F26" s="8" t="s">
        <v>359</v>
      </c>
      <c r="G26" s="8" t="s">
        <v>360</v>
      </c>
      <c r="H26" s="8" t="s">
        <v>361</v>
      </c>
      <c r="I26" s="8" t="s">
        <v>362</v>
      </c>
      <c r="J26" s="8" t="s">
        <v>372</v>
      </c>
      <c r="K26" s="8" t="s">
        <v>373</v>
      </c>
    </row>
    <row r="27" spans="1:11">
      <c r="A27" s="6" t="s">
        <v>157</v>
      </c>
      <c r="B27" s="10">
        <v>36</v>
      </c>
      <c r="C27" s="25">
        <f t="shared" ref="C27:C42" si="0">MIN($B$23,MAX($B$22,($B27-INDEX($C$5:$C$8,MATCH($A27,$A$5:$A$8,0))-$B$21*0)/100))</f>
        <v>0.36</v>
      </c>
      <c r="D27" s="25">
        <f t="shared" ref="D27:D42" si="1">MIN($B$23,MAX($B$22,($B27-INDEX($C$5:$C$8,MATCH($A27,$A$5:$A$8,0))-$B$21*1)/100))</f>
        <v>0.11</v>
      </c>
      <c r="E27" s="25">
        <f t="shared" ref="E27:E42" si="2">MIN($B$23,MAX($B$22,($B27-INDEX($C$5:$C$8,MATCH($A27,$A$5:$A$8,0))-$B$21*2)/100))</f>
        <v>0.05</v>
      </c>
      <c r="F27" s="25">
        <f t="shared" ref="F27:F42" si="3">1-C27</f>
        <v>0.64</v>
      </c>
      <c r="G27" s="25">
        <f t="shared" ref="G27:G42" si="4">C27*(1-D27)</f>
        <v>0.32040000000000002</v>
      </c>
      <c r="H27" s="25">
        <f t="shared" ref="H27:H42" si="5">C27*D27*(1-E27)</f>
        <v>3.7619999999999994E-2</v>
      </c>
      <c r="I27" s="25">
        <f t="shared" ref="I27:I42" si="6">C27*D27*E27</f>
        <v>1.98E-3</v>
      </c>
      <c r="J27" s="26">
        <f t="shared" ref="J27:J42" si="7">F27*$B$15+G27*$B$16+H27*$B$17+I27*$B$18</f>
        <v>3.7665999999999995</v>
      </c>
      <c r="K27" s="11">
        <f t="shared" ref="K27:K42" si="8">J27*INDEX($B$5:$B$8,MATCH($A27,$A$5:$A$8,0))</f>
        <v>37.665999999999997</v>
      </c>
    </row>
    <row r="28" spans="1:11">
      <c r="A28" s="6" t="s">
        <v>157</v>
      </c>
      <c r="B28" s="10">
        <v>62</v>
      </c>
      <c r="C28" s="25">
        <f t="shared" si="0"/>
        <v>0.62</v>
      </c>
      <c r="D28" s="25">
        <f t="shared" si="1"/>
        <v>0.37</v>
      </c>
      <c r="E28" s="25">
        <f t="shared" si="2"/>
        <v>0.12</v>
      </c>
      <c r="F28" s="25">
        <f t="shared" si="3"/>
        <v>0.38</v>
      </c>
      <c r="G28" s="25">
        <f t="shared" si="4"/>
        <v>0.3906</v>
      </c>
      <c r="H28" s="25">
        <f t="shared" si="5"/>
        <v>0.201872</v>
      </c>
      <c r="I28" s="25">
        <f t="shared" si="6"/>
        <v>2.7527999999999997E-2</v>
      </c>
      <c r="J28" s="26">
        <f t="shared" si="7"/>
        <v>13.89476</v>
      </c>
      <c r="K28" s="11">
        <f t="shared" si="8"/>
        <v>138.94759999999999</v>
      </c>
    </row>
    <row r="29" spans="1:11">
      <c r="A29" s="6" t="s">
        <v>157</v>
      </c>
      <c r="B29" s="10">
        <v>78</v>
      </c>
      <c r="C29" s="25">
        <f t="shared" si="0"/>
        <v>0.78</v>
      </c>
      <c r="D29" s="25">
        <f t="shared" si="1"/>
        <v>0.53</v>
      </c>
      <c r="E29" s="25">
        <f t="shared" si="2"/>
        <v>0.28000000000000003</v>
      </c>
      <c r="F29" s="25">
        <f t="shared" si="3"/>
        <v>0.21999999999999997</v>
      </c>
      <c r="G29" s="25">
        <f t="shared" si="4"/>
        <v>0.36659999999999998</v>
      </c>
      <c r="H29" s="25">
        <f t="shared" si="5"/>
        <v>0.29764800000000002</v>
      </c>
      <c r="I29" s="25">
        <f t="shared" si="6"/>
        <v>0.11575200000000002</v>
      </c>
      <c r="J29" s="26">
        <f t="shared" si="7"/>
        <v>34.132840000000002</v>
      </c>
      <c r="K29" s="11">
        <f t="shared" si="8"/>
        <v>341.32839999999999</v>
      </c>
    </row>
    <row r="30" spans="1:11">
      <c r="A30" s="6" t="s">
        <v>157</v>
      </c>
      <c r="B30" s="10">
        <v>90</v>
      </c>
      <c r="C30" s="25">
        <f t="shared" si="0"/>
        <v>0.9</v>
      </c>
      <c r="D30" s="25">
        <f t="shared" si="1"/>
        <v>0.65</v>
      </c>
      <c r="E30" s="25">
        <f t="shared" si="2"/>
        <v>0.4</v>
      </c>
      <c r="F30" s="25">
        <f t="shared" si="3"/>
        <v>9.9999999999999978E-2</v>
      </c>
      <c r="G30" s="25">
        <f t="shared" si="4"/>
        <v>0.315</v>
      </c>
      <c r="H30" s="25">
        <f t="shared" si="5"/>
        <v>0.35100000000000003</v>
      </c>
      <c r="I30" s="25">
        <f t="shared" si="6"/>
        <v>0.23400000000000004</v>
      </c>
      <c r="J30" s="26">
        <f t="shared" si="7"/>
        <v>59.00500000000001</v>
      </c>
      <c r="K30" s="11">
        <f t="shared" si="8"/>
        <v>590.05000000000007</v>
      </c>
    </row>
    <row r="31" spans="1:11">
      <c r="A31" s="6" t="s">
        <v>158</v>
      </c>
      <c r="B31" s="10">
        <v>36</v>
      </c>
      <c r="C31" s="25">
        <f t="shared" si="0"/>
        <v>0.31</v>
      </c>
      <c r="D31" s="25">
        <f t="shared" si="1"/>
        <v>0.06</v>
      </c>
      <c r="E31" s="25">
        <f t="shared" si="2"/>
        <v>0.05</v>
      </c>
      <c r="F31" s="25">
        <f t="shared" si="3"/>
        <v>0.69</v>
      </c>
      <c r="G31" s="25">
        <f t="shared" si="4"/>
        <v>0.29139999999999999</v>
      </c>
      <c r="H31" s="25">
        <f t="shared" si="5"/>
        <v>1.7669999999999998E-2</v>
      </c>
      <c r="I31" s="25">
        <f t="shared" si="6"/>
        <v>9.2999999999999995E-4</v>
      </c>
      <c r="J31" s="26">
        <f t="shared" si="7"/>
        <v>2.8630999999999998</v>
      </c>
      <c r="K31" s="11">
        <f t="shared" si="8"/>
        <v>85.892999999999986</v>
      </c>
    </row>
    <row r="32" spans="1:11">
      <c r="A32" s="6" t="s">
        <v>158</v>
      </c>
      <c r="B32" s="10">
        <v>62</v>
      </c>
      <c r="C32" s="25">
        <f t="shared" si="0"/>
        <v>0.56999999999999995</v>
      </c>
      <c r="D32" s="25">
        <f t="shared" si="1"/>
        <v>0.32</v>
      </c>
      <c r="E32" s="25">
        <f t="shared" si="2"/>
        <v>7.0000000000000007E-2</v>
      </c>
      <c r="F32" s="25">
        <f t="shared" si="3"/>
        <v>0.43000000000000005</v>
      </c>
      <c r="G32" s="25">
        <f t="shared" si="4"/>
        <v>0.38759999999999994</v>
      </c>
      <c r="H32" s="25">
        <f t="shared" si="5"/>
        <v>0.16963199999999998</v>
      </c>
      <c r="I32" s="25">
        <f t="shared" si="6"/>
        <v>1.2768E-2</v>
      </c>
      <c r="J32" s="26">
        <f t="shared" si="7"/>
        <v>10.010559999999998</v>
      </c>
      <c r="K32" s="11">
        <f t="shared" si="8"/>
        <v>300.31679999999994</v>
      </c>
    </row>
    <row r="33" spans="1:11">
      <c r="A33" s="6" t="s">
        <v>158</v>
      </c>
      <c r="B33" s="10">
        <v>78</v>
      </c>
      <c r="C33" s="25">
        <f t="shared" si="0"/>
        <v>0.73</v>
      </c>
      <c r="D33" s="25">
        <f t="shared" si="1"/>
        <v>0.48</v>
      </c>
      <c r="E33" s="25">
        <f t="shared" si="2"/>
        <v>0.23</v>
      </c>
      <c r="F33" s="25">
        <f t="shared" si="3"/>
        <v>0.27</v>
      </c>
      <c r="G33" s="25">
        <f t="shared" si="4"/>
        <v>0.37959999999999999</v>
      </c>
      <c r="H33" s="25">
        <f t="shared" si="5"/>
        <v>0.26980799999999999</v>
      </c>
      <c r="I33" s="25">
        <f t="shared" si="6"/>
        <v>8.0591999999999997E-2</v>
      </c>
      <c r="J33" s="26">
        <f t="shared" si="7"/>
        <v>26.38064</v>
      </c>
      <c r="K33" s="11">
        <f t="shared" si="8"/>
        <v>791.41920000000005</v>
      </c>
    </row>
    <row r="34" spans="1:11">
      <c r="A34" s="6" t="s">
        <v>158</v>
      </c>
      <c r="B34" s="10">
        <v>90</v>
      </c>
      <c r="C34" s="25">
        <f t="shared" si="0"/>
        <v>0.85</v>
      </c>
      <c r="D34" s="25">
        <f t="shared" si="1"/>
        <v>0.6</v>
      </c>
      <c r="E34" s="25">
        <f t="shared" si="2"/>
        <v>0.35</v>
      </c>
      <c r="F34" s="25">
        <f t="shared" si="3"/>
        <v>0.15000000000000002</v>
      </c>
      <c r="G34" s="25">
        <f t="shared" si="4"/>
        <v>0.34</v>
      </c>
      <c r="H34" s="25">
        <f t="shared" si="5"/>
        <v>0.33150000000000002</v>
      </c>
      <c r="I34" s="25">
        <f t="shared" si="6"/>
        <v>0.17849999999999999</v>
      </c>
      <c r="J34" s="26">
        <f t="shared" si="7"/>
        <v>47.494999999999997</v>
      </c>
      <c r="K34" s="11">
        <f t="shared" si="8"/>
        <v>1424.85</v>
      </c>
    </row>
    <row r="35" spans="1:11">
      <c r="A35" s="6" t="s">
        <v>159</v>
      </c>
      <c r="B35" s="10">
        <v>36</v>
      </c>
      <c r="C35" s="25">
        <f t="shared" si="0"/>
        <v>0.26</v>
      </c>
      <c r="D35" s="25">
        <f t="shared" si="1"/>
        <v>0.05</v>
      </c>
      <c r="E35" s="25">
        <f t="shared" si="2"/>
        <v>0.05</v>
      </c>
      <c r="F35" s="25">
        <f t="shared" si="3"/>
        <v>0.74</v>
      </c>
      <c r="G35" s="25">
        <f t="shared" si="4"/>
        <v>0.247</v>
      </c>
      <c r="H35" s="25">
        <f t="shared" si="5"/>
        <v>1.235E-2</v>
      </c>
      <c r="I35" s="25">
        <f t="shared" si="6"/>
        <v>6.5000000000000008E-4</v>
      </c>
      <c r="J35" s="26">
        <f t="shared" si="7"/>
        <v>2.4754999999999998</v>
      </c>
      <c r="K35" s="11">
        <f t="shared" si="8"/>
        <v>371.32499999999999</v>
      </c>
    </row>
    <row r="36" spans="1:11">
      <c r="A36" s="6" t="s">
        <v>159</v>
      </c>
      <c r="B36" s="10">
        <v>62</v>
      </c>
      <c r="C36" s="25">
        <f t="shared" si="0"/>
        <v>0.52</v>
      </c>
      <c r="D36" s="25">
        <f t="shared" si="1"/>
        <v>0.27</v>
      </c>
      <c r="E36" s="25">
        <f t="shared" si="2"/>
        <v>0.05</v>
      </c>
      <c r="F36" s="25">
        <f t="shared" si="3"/>
        <v>0.48</v>
      </c>
      <c r="G36" s="25">
        <f t="shared" si="4"/>
        <v>0.37959999999999999</v>
      </c>
      <c r="H36" s="25">
        <f t="shared" si="5"/>
        <v>0.13338000000000003</v>
      </c>
      <c r="I36" s="25">
        <f t="shared" si="6"/>
        <v>7.0200000000000019E-3</v>
      </c>
      <c r="J36" s="26">
        <f t="shared" si="7"/>
        <v>7.7834000000000021</v>
      </c>
      <c r="K36" s="11">
        <f t="shared" si="8"/>
        <v>1167.5100000000002</v>
      </c>
    </row>
    <row r="37" spans="1:11">
      <c r="A37" s="6" t="s">
        <v>159</v>
      </c>
      <c r="B37" s="10">
        <v>78</v>
      </c>
      <c r="C37" s="25">
        <f t="shared" si="0"/>
        <v>0.68</v>
      </c>
      <c r="D37" s="25">
        <f t="shared" si="1"/>
        <v>0.43</v>
      </c>
      <c r="E37" s="25">
        <f t="shared" si="2"/>
        <v>0.18</v>
      </c>
      <c r="F37" s="25">
        <f t="shared" si="3"/>
        <v>0.31999999999999995</v>
      </c>
      <c r="G37" s="25">
        <f t="shared" si="4"/>
        <v>0.38760000000000006</v>
      </c>
      <c r="H37" s="25">
        <f t="shared" si="5"/>
        <v>0.23976800000000001</v>
      </c>
      <c r="I37" s="25">
        <f t="shared" si="6"/>
        <v>5.2631999999999998E-2</v>
      </c>
      <c r="J37" s="26">
        <f t="shared" si="7"/>
        <v>19.977439999999998</v>
      </c>
      <c r="K37" s="11">
        <f t="shared" si="8"/>
        <v>2996.6159999999995</v>
      </c>
    </row>
    <row r="38" spans="1:11">
      <c r="A38" s="6" t="s">
        <v>159</v>
      </c>
      <c r="B38" s="10">
        <v>90</v>
      </c>
      <c r="C38" s="25">
        <f t="shared" si="0"/>
        <v>0.8</v>
      </c>
      <c r="D38" s="25">
        <f t="shared" si="1"/>
        <v>0.55000000000000004</v>
      </c>
      <c r="E38" s="25">
        <f t="shared" si="2"/>
        <v>0.3</v>
      </c>
      <c r="F38" s="25">
        <f t="shared" si="3"/>
        <v>0.19999999999999996</v>
      </c>
      <c r="G38" s="25">
        <f t="shared" si="4"/>
        <v>0.36</v>
      </c>
      <c r="H38" s="25">
        <f t="shared" si="5"/>
        <v>0.308</v>
      </c>
      <c r="I38" s="25">
        <f t="shared" si="6"/>
        <v>0.13200000000000001</v>
      </c>
      <c r="J38" s="26">
        <f t="shared" si="7"/>
        <v>37.64</v>
      </c>
      <c r="K38" s="11">
        <f t="shared" si="8"/>
        <v>5646</v>
      </c>
    </row>
    <row r="39" spans="1:11">
      <c r="A39" s="6" t="s">
        <v>160</v>
      </c>
      <c r="B39" s="10">
        <v>36</v>
      </c>
      <c r="C39" s="25">
        <f t="shared" si="0"/>
        <v>0.21</v>
      </c>
      <c r="D39" s="25">
        <f t="shared" si="1"/>
        <v>0.05</v>
      </c>
      <c r="E39" s="25">
        <f t="shared" si="2"/>
        <v>0.05</v>
      </c>
      <c r="F39" s="25">
        <f t="shared" si="3"/>
        <v>0.79</v>
      </c>
      <c r="G39" s="25">
        <f t="shared" si="4"/>
        <v>0.19949999999999998</v>
      </c>
      <c r="H39" s="25">
        <f t="shared" si="5"/>
        <v>9.9749999999999995E-3</v>
      </c>
      <c r="I39" s="25">
        <f t="shared" si="6"/>
        <v>5.2500000000000008E-4</v>
      </c>
      <c r="J39" s="26">
        <f t="shared" si="7"/>
        <v>2.1917499999999999</v>
      </c>
      <c r="K39" s="11">
        <f t="shared" si="8"/>
        <v>2191.75</v>
      </c>
    </row>
    <row r="40" spans="1:11">
      <c r="A40" s="6" t="s">
        <v>160</v>
      </c>
      <c r="B40" s="10">
        <v>62</v>
      </c>
      <c r="C40" s="25">
        <f t="shared" si="0"/>
        <v>0.47</v>
      </c>
      <c r="D40" s="25">
        <f t="shared" si="1"/>
        <v>0.22</v>
      </c>
      <c r="E40" s="25">
        <f t="shared" si="2"/>
        <v>0.05</v>
      </c>
      <c r="F40" s="25">
        <f t="shared" si="3"/>
        <v>0.53</v>
      </c>
      <c r="G40" s="25">
        <f t="shared" si="4"/>
        <v>0.36659999999999998</v>
      </c>
      <c r="H40" s="25">
        <f t="shared" si="5"/>
        <v>9.8229999999999984E-2</v>
      </c>
      <c r="I40" s="25">
        <f t="shared" si="6"/>
        <v>5.1700000000000001E-3</v>
      </c>
      <c r="J40" s="26">
        <f t="shared" si="7"/>
        <v>6.3438999999999988</v>
      </c>
      <c r="K40" s="11">
        <f t="shared" si="8"/>
        <v>6343.8999999999987</v>
      </c>
    </row>
    <row r="41" spans="1:11">
      <c r="A41" s="6" t="s">
        <v>160</v>
      </c>
      <c r="B41" s="10">
        <v>78</v>
      </c>
      <c r="C41" s="25">
        <f t="shared" si="0"/>
        <v>0.63</v>
      </c>
      <c r="D41" s="25">
        <f t="shared" si="1"/>
        <v>0.38</v>
      </c>
      <c r="E41" s="25">
        <f t="shared" si="2"/>
        <v>0.13</v>
      </c>
      <c r="F41" s="25">
        <f t="shared" si="3"/>
        <v>0.37</v>
      </c>
      <c r="G41" s="25">
        <f t="shared" si="4"/>
        <v>0.3906</v>
      </c>
      <c r="H41" s="25">
        <f t="shared" si="5"/>
        <v>0.20827799999999999</v>
      </c>
      <c r="I41" s="25">
        <f t="shared" si="6"/>
        <v>3.1122E-2</v>
      </c>
      <c r="J41" s="26">
        <f t="shared" si="7"/>
        <v>14.795739999999999</v>
      </c>
      <c r="K41" s="11">
        <f t="shared" si="8"/>
        <v>14795.739999999998</v>
      </c>
    </row>
    <row r="42" spans="1:11">
      <c r="A42" s="6" t="s">
        <v>160</v>
      </c>
      <c r="B42" s="10">
        <v>90</v>
      </c>
      <c r="C42" s="25">
        <f t="shared" si="0"/>
        <v>0.75</v>
      </c>
      <c r="D42" s="25">
        <f t="shared" si="1"/>
        <v>0.5</v>
      </c>
      <c r="E42" s="25">
        <f t="shared" si="2"/>
        <v>0.25</v>
      </c>
      <c r="F42" s="25">
        <f t="shared" si="3"/>
        <v>0.25</v>
      </c>
      <c r="G42" s="25">
        <f t="shared" si="4"/>
        <v>0.375</v>
      </c>
      <c r="H42" s="25">
        <f t="shared" si="5"/>
        <v>0.28125</v>
      </c>
      <c r="I42" s="25">
        <f t="shared" si="6"/>
        <v>9.375E-2</v>
      </c>
      <c r="J42" s="26">
        <f t="shared" si="7"/>
        <v>29.3125</v>
      </c>
      <c r="K42" s="11">
        <f t="shared" si="8"/>
        <v>29312.5</v>
      </c>
    </row>
    <row r="44" spans="1:11">
      <c r="A44" s="2" t="s">
        <v>374</v>
      </c>
    </row>
    <row r="45" spans="1:11">
      <c r="A45" s="2" t="s">
        <v>375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7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/>
  <cols>
    <col min="1" max="1" width="5" customWidth="1"/>
    <col min="2" max="2" width="7" customWidth="1"/>
    <col min="3" max="3" width="18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8" customWidth="1"/>
    <col min="11" max="12" width="10" customWidth="1"/>
    <col min="13" max="14" width="12" customWidth="1"/>
    <col min="15" max="15" width="16" customWidth="1"/>
  </cols>
  <sheetData>
    <row r="1" spans="1:15" ht="20.25">
      <c r="A1" s="1" t="s">
        <v>376</v>
      </c>
    </row>
    <row r="2" spans="1:15">
      <c r="A2" s="2" t="s">
        <v>377</v>
      </c>
    </row>
    <row r="4" spans="1:15">
      <c r="A4" s="8" t="s">
        <v>166</v>
      </c>
      <c r="B4" s="8" t="s">
        <v>167</v>
      </c>
      <c r="C4" s="8" t="s">
        <v>378</v>
      </c>
      <c r="D4" s="8" t="s">
        <v>379</v>
      </c>
      <c r="E4" s="8" t="s">
        <v>380</v>
      </c>
      <c r="F4" s="8" t="s">
        <v>381</v>
      </c>
      <c r="G4" s="8" t="s">
        <v>380</v>
      </c>
      <c r="H4" s="8" t="s">
        <v>382</v>
      </c>
      <c r="I4" s="8" t="s">
        <v>380</v>
      </c>
      <c r="J4" s="8" t="s">
        <v>383</v>
      </c>
      <c r="K4" s="8" t="s">
        <v>384</v>
      </c>
      <c r="L4" s="8" t="s">
        <v>385</v>
      </c>
      <c r="M4" s="8" t="s">
        <v>386</v>
      </c>
      <c r="N4" s="8" t="s">
        <v>387</v>
      </c>
      <c r="O4" s="8" t="s">
        <v>388</v>
      </c>
    </row>
    <row r="5" spans="1:15">
      <c r="A5" s="11">
        <v>1</v>
      </c>
      <c r="B5" s="4" t="s">
        <v>157</v>
      </c>
      <c r="C5" s="4" t="s">
        <v>389</v>
      </c>
      <c r="D5" s="4" t="s">
        <v>174</v>
      </c>
      <c r="E5" s="10">
        <v>3</v>
      </c>
      <c r="F5" s="4"/>
      <c r="G5" s="10"/>
      <c r="H5" s="4"/>
      <c r="I5" s="10"/>
      <c r="J5" s="11">
        <f t="shared" ref="J5:J36" si="0">SUM(E5,G5,I5)</f>
        <v>3</v>
      </c>
      <c r="K5" s="13">
        <f>ROUND(INDEX(요리·별!$B$5:$B$8,MATCH(B5,요리·별!$A$5:$A$8,0))*(1-요리·별!$B$11),0)</f>
        <v>9</v>
      </c>
      <c r="L5" s="13">
        <f>ROUND(INDEX(요리·별!$B$5:$B$8,MATCH(B5,요리·별!$A$5:$A$8,0))*(1+요리·별!$B$11),0)</f>
        <v>11</v>
      </c>
      <c r="M5" s="13">
        <f>L5*요리·별!$B$18</f>
        <v>2200</v>
      </c>
      <c r="N5" s="7" t="str">
        <f>IFERROR(INDEX({"일반","고급","희귀","전설"},MAX(IF(D5="",0,MATCH(INDEX(작물!$B$17:$B$71,MATCH(D5,작물!$C$17:$C$71,0)),{"일반","고급","희귀","전설"},0)),IF(F5="",0,MATCH(INDEX(작물!$B$17:$B$71,MATCH(F5,작물!$C$17:$C$71,0)),{"일반","고급","희귀","전설"},0)),IF(H5="",0,MATCH(INDEX(작물!$B$17:$B$71,MATCH(H5,작물!$C$17:$C$71,0)),{"일반","고급","희귀","전설"},0)))),"작물 이름 확인")</f>
        <v>일반</v>
      </c>
      <c r="O5" s="6" t="str">
        <f t="shared" ref="O5:O36" si="1">IF(N5="작물 이름 확인",N5,IF(MAX(E5,G5,I5)&gt;3,"같은 재료 3개 넘음",IF(N5=B5,"OK","등급 다름")))</f>
        <v>OK</v>
      </c>
    </row>
    <row r="6" spans="1:15">
      <c r="A6" s="11">
        <v>2</v>
      </c>
      <c r="B6" s="4" t="s">
        <v>157</v>
      </c>
      <c r="C6" s="4" t="s">
        <v>390</v>
      </c>
      <c r="D6" s="4" t="s">
        <v>175</v>
      </c>
      <c r="E6" s="10">
        <v>3</v>
      </c>
      <c r="F6" s="4"/>
      <c r="G6" s="10"/>
      <c r="H6" s="4"/>
      <c r="I6" s="10"/>
      <c r="J6" s="11">
        <f t="shared" si="0"/>
        <v>3</v>
      </c>
      <c r="K6" s="13">
        <f>ROUND(INDEX(요리·별!$B$5:$B$8,MATCH(B6,요리·별!$A$5:$A$8,0))*(1-요리·별!$B$11),0)</f>
        <v>9</v>
      </c>
      <c r="L6" s="13">
        <f>ROUND(INDEX(요리·별!$B$5:$B$8,MATCH(B6,요리·별!$A$5:$A$8,0))*(1+요리·별!$B$11),0)</f>
        <v>11</v>
      </c>
      <c r="M6" s="13">
        <f>L6*요리·별!$B$18</f>
        <v>2200</v>
      </c>
      <c r="N6" s="7" t="str">
        <f>IFERROR(INDEX({"일반","고급","희귀","전설"},MAX(IF(D6="",0,MATCH(INDEX(작물!$B$17:$B$71,MATCH(D6,작물!$C$17:$C$71,0)),{"일반","고급","희귀","전설"},0)),IF(F6="",0,MATCH(INDEX(작물!$B$17:$B$71,MATCH(F6,작물!$C$17:$C$71,0)),{"일반","고급","희귀","전설"},0)),IF(H6="",0,MATCH(INDEX(작물!$B$17:$B$71,MATCH(H6,작물!$C$17:$C$71,0)),{"일반","고급","희귀","전설"},0)))),"작물 이름 확인")</f>
        <v>일반</v>
      </c>
      <c r="O6" s="6" t="str">
        <f t="shared" si="1"/>
        <v>OK</v>
      </c>
    </row>
    <row r="7" spans="1:15">
      <c r="A7" s="11">
        <v>3</v>
      </c>
      <c r="B7" s="4" t="s">
        <v>157</v>
      </c>
      <c r="C7" s="4" t="s">
        <v>391</v>
      </c>
      <c r="D7" s="4" t="s">
        <v>191</v>
      </c>
      <c r="E7" s="10">
        <v>3</v>
      </c>
      <c r="F7" s="4"/>
      <c r="G7" s="10"/>
      <c r="H7" s="4"/>
      <c r="I7" s="10"/>
      <c r="J7" s="11">
        <f t="shared" si="0"/>
        <v>3</v>
      </c>
      <c r="K7" s="13">
        <f>ROUND(INDEX(요리·별!$B$5:$B$8,MATCH(B7,요리·별!$A$5:$A$8,0))*(1-요리·별!$B$11),0)</f>
        <v>9</v>
      </c>
      <c r="L7" s="13">
        <f>ROUND(INDEX(요리·별!$B$5:$B$8,MATCH(B7,요리·별!$A$5:$A$8,0))*(1+요리·별!$B$11),0)</f>
        <v>11</v>
      </c>
      <c r="M7" s="13">
        <f>L7*요리·별!$B$18</f>
        <v>2200</v>
      </c>
      <c r="N7" s="7" t="str">
        <f>IFERROR(INDEX({"일반","고급","희귀","전설"},MAX(IF(D7="",0,MATCH(INDEX(작물!$B$17:$B$71,MATCH(D7,작물!$C$17:$C$71,0)),{"일반","고급","희귀","전설"},0)),IF(F7="",0,MATCH(INDEX(작물!$B$17:$B$71,MATCH(F7,작물!$C$17:$C$71,0)),{"일반","고급","희귀","전설"},0)),IF(H7="",0,MATCH(INDEX(작물!$B$17:$B$71,MATCH(H7,작물!$C$17:$C$71,0)),{"일반","고급","희귀","전설"},0)))),"작물 이름 확인")</f>
        <v>일반</v>
      </c>
      <c r="O7" s="6" t="str">
        <f t="shared" si="1"/>
        <v>OK</v>
      </c>
    </row>
    <row r="8" spans="1:15">
      <c r="A8" s="11">
        <v>4</v>
      </c>
      <c r="B8" s="4" t="s">
        <v>157</v>
      </c>
      <c r="C8" s="4" t="s">
        <v>392</v>
      </c>
      <c r="D8" s="4" t="s">
        <v>190</v>
      </c>
      <c r="E8" s="10">
        <v>3</v>
      </c>
      <c r="F8" s="4"/>
      <c r="G8" s="10"/>
      <c r="H8" s="4"/>
      <c r="I8" s="10"/>
      <c r="J8" s="11">
        <f t="shared" si="0"/>
        <v>3</v>
      </c>
      <c r="K8" s="13">
        <f>ROUND(INDEX(요리·별!$B$5:$B$8,MATCH(B8,요리·별!$A$5:$A$8,0))*(1-요리·별!$B$11),0)</f>
        <v>9</v>
      </c>
      <c r="L8" s="13">
        <f>ROUND(INDEX(요리·별!$B$5:$B$8,MATCH(B8,요리·별!$A$5:$A$8,0))*(1+요리·별!$B$11),0)</f>
        <v>11</v>
      </c>
      <c r="M8" s="13">
        <f>L8*요리·별!$B$18</f>
        <v>2200</v>
      </c>
      <c r="N8" s="7" t="str">
        <f>IFERROR(INDEX({"일반","고급","희귀","전설"},MAX(IF(D8="",0,MATCH(INDEX(작물!$B$17:$B$71,MATCH(D8,작물!$C$17:$C$71,0)),{"일반","고급","희귀","전설"},0)),IF(F8="",0,MATCH(INDEX(작물!$B$17:$B$71,MATCH(F8,작물!$C$17:$C$71,0)),{"일반","고급","희귀","전설"},0)),IF(H8="",0,MATCH(INDEX(작물!$B$17:$B$71,MATCH(H8,작물!$C$17:$C$71,0)),{"일반","고급","희귀","전설"},0)))),"작물 이름 확인")</f>
        <v>일반</v>
      </c>
      <c r="O8" s="6" t="str">
        <f t="shared" si="1"/>
        <v>OK</v>
      </c>
    </row>
    <row r="9" spans="1:15">
      <c r="A9" s="11">
        <v>5</v>
      </c>
      <c r="B9" s="4" t="s">
        <v>157</v>
      </c>
      <c r="C9" s="4" t="s">
        <v>393</v>
      </c>
      <c r="D9" s="4" t="s">
        <v>192</v>
      </c>
      <c r="E9" s="10">
        <v>3</v>
      </c>
      <c r="F9" s="4"/>
      <c r="G9" s="10"/>
      <c r="H9" s="4"/>
      <c r="I9" s="10"/>
      <c r="J9" s="11">
        <f t="shared" si="0"/>
        <v>3</v>
      </c>
      <c r="K9" s="13">
        <f>ROUND(INDEX(요리·별!$B$5:$B$8,MATCH(B9,요리·별!$A$5:$A$8,0))*(1-요리·별!$B$11),0)</f>
        <v>9</v>
      </c>
      <c r="L9" s="13">
        <f>ROUND(INDEX(요리·별!$B$5:$B$8,MATCH(B9,요리·별!$A$5:$A$8,0))*(1+요리·별!$B$11),0)</f>
        <v>11</v>
      </c>
      <c r="M9" s="13">
        <f>L9*요리·별!$B$18</f>
        <v>2200</v>
      </c>
      <c r="N9" s="7" t="str">
        <f>IFERROR(INDEX({"일반","고급","희귀","전설"},MAX(IF(D9="",0,MATCH(INDEX(작물!$B$17:$B$71,MATCH(D9,작물!$C$17:$C$71,0)),{"일반","고급","희귀","전설"},0)),IF(F9="",0,MATCH(INDEX(작물!$B$17:$B$71,MATCH(F9,작물!$C$17:$C$71,0)),{"일반","고급","희귀","전설"},0)),IF(H9="",0,MATCH(INDEX(작물!$B$17:$B$71,MATCH(H9,작물!$C$17:$C$71,0)),{"일반","고급","희귀","전설"},0)))),"작물 이름 확인")</f>
        <v>일반</v>
      </c>
      <c r="O9" s="6" t="str">
        <f t="shared" si="1"/>
        <v>OK</v>
      </c>
    </row>
    <row r="10" spans="1:15">
      <c r="A10" s="11">
        <v>6</v>
      </c>
      <c r="B10" s="4" t="s">
        <v>157</v>
      </c>
      <c r="C10" s="4" t="s">
        <v>394</v>
      </c>
      <c r="D10" s="4" t="s">
        <v>176</v>
      </c>
      <c r="E10" s="10">
        <v>3</v>
      </c>
      <c r="F10" s="4"/>
      <c r="G10" s="10"/>
      <c r="H10" s="4"/>
      <c r="I10" s="10"/>
      <c r="J10" s="11">
        <f t="shared" si="0"/>
        <v>3</v>
      </c>
      <c r="K10" s="13">
        <f>ROUND(INDEX(요리·별!$B$5:$B$8,MATCH(B10,요리·별!$A$5:$A$8,0))*(1-요리·별!$B$11),0)</f>
        <v>9</v>
      </c>
      <c r="L10" s="13">
        <f>ROUND(INDEX(요리·별!$B$5:$B$8,MATCH(B10,요리·별!$A$5:$A$8,0))*(1+요리·별!$B$11),0)</f>
        <v>11</v>
      </c>
      <c r="M10" s="13">
        <f>L10*요리·별!$B$18</f>
        <v>2200</v>
      </c>
      <c r="N10" s="7" t="str">
        <f>IFERROR(INDEX({"일반","고급","희귀","전설"},MAX(IF(D10="",0,MATCH(INDEX(작물!$B$17:$B$71,MATCH(D10,작물!$C$17:$C$71,0)),{"일반","고급","희귀","전설"},0)),IF(F10="",0,MATCH(INDEX(작물!$B$17:$B$71,MATCH(F10,작물!$C$17:$C$71,0)),{"일반","고급","희귀","전설"},0)),IF(H10="",0,MATCH(INDEX(작물!$B$17:$B$71,MATCH(H10,작물!$C$17:$C$71,0)),{"일반","고급","희귀","전설"},0)))),"작물 이름 확인")</f>
        <v>일반</v>
      </c>
      <c r="O10" s="6" t="str">
        <f t="shared" si="1"/>
        <v>OK</v>
      </c>
    </row>
    <row r="11" spans="1:15">
      <c r="A11" s="11">
        <v>7</v>
      </c>
      <c r="B11" s="4" t="s">
        <v>157</v>
      </c>
      <c r="C11" s="4" t="s">
        <v>395</v>
      </c>
      <c r="D11" s="4" t="s">
        <v>174</v>
      </c>
      <c r="E11" s="10">
        <v>3</v>
      </c>
      <c r="F11" s="4" t="s">
        <v>178</v>
      </c>
      <c r="G11" s="10">
        <v>1</v>
      </c>
      <c r="H11" s="4"/>
      <c r="I11" s="10"/>
      <c r="J11" s="11">
        <f t="shared" si="0"/>
        <v>4</v>
      </c>
      <c r="K11" s="13">
        <f>ROUND(INDEX(요리·별!$B$5:$B$8,MATCH(B11,요리·별!$A$5:$A$8,0))*(1-요리·별!$B$11),0)</f>
        <v>9</v>
      </c>
      <c r="L11" s="13">
        <f>ROUND(INDEX(요리·별!$B$5:$B$8,MATCH(B11,요리·별!$A$5:$A$8,0))*(1+요리·별!$B$11),0)</f>
        <v>11</v>
      </c>
      <c r="M11" s="13">
        <f>L11*요리·별!$B$18</f>
        <v>2200</v>
      </c>
      <c r="N11" s="7" t="str">
        <f>IFERROR(INDEX({"일반","고급","희귀","전설"},MAX(IF(D11="",0,MATCH(INDEX(작물!$B$17:$B$71,MATCH(D11,작물!$C$17:$C$71,0)),{"일반","고급","희귀","전설"},0)),IF(F11="",0,MATCH(INDEX(작물!$B$17:$B$71,MATCH(F11,작물!$C$17:$C$71,0)),{"일반","고급","희귀","전설"},0)),IF(H11="",0,MATCH(INDEX(작물!$B$17:$B$71,MATCH(H11,작물!$C$17:$C$71,0)),{"일반","고급","희귀","전설"},0)))),"작물 이름 확인")</f>
        <v>일반</v>
      </c>
      <c r="O11" s="6" t="str">
        <f t="shared" si="1"/>
        <v>OK</v>
      </c>
    </row>
    <row r="12" spans="1:15">
      <c r="A12" s="11">
        <v>8</v>
      </c>
      <c r="B12" s="4" t="s">
        <v>157</v>
      </c>
      <c r="C12" s="4" t="s">
        <v>396</v>
      </c>
      <c r="D12" s="4" t="s">
        <v>174</v>
      </c>
      <c r="E12" s="10">
        <v>2</v>
      </c>
      <c r="F12" s="4" t="s">
        <v>178</v>
      </c>
      <c r="G12" s="10">
        <v>1</v>
      </c>
      <c r="H12" s="4" t="s">
        <v>179</v>
      </c>
      <c r="I12" s="10">
        <v>1</v>
      </c>
      <c r="J12" s="11">
        <f t="shared" si="0"/>
        <v>4</v>
      </c>
      <c r="K12" s="13">
        <f>ROUND(INDEX(요리·별!$B$5:$B$8,MATCH(B12,요리·별!$A$5:$A$8,0))*(1-요리·별!$B$11),0)</f>
        <v>9</v>
      </c>
      <c r="L12" s="13">
        <f>ROUND(INDEX(요리·별!$B$5:$B$8,MATCH(B12,요리·별!$A$5:$A$8,0))*(1+요리·별!$B$11),0)</f>
        <v>11</v>
      </c>
      <c r="M12" s="13">
        <f>L12*요리·별!$B$18</f>
        <v>2200</v>
      </c>
      <c r="N12" s="7" t="str">
        <f>IFERROR(INDEX({"일반","고급","희귀","전설"},MAX(IF(D12="",0,MATCH(INDEX(작물!$B$17:$B$71,MATCH(D12,작물!$C$17:$C$71,0)),{"일반","고급","희귀","전설"},0)),IF(F12="",0,MATCH(INDEX(작물!$B$17:$B$71,MATCH(F12,작물!$C$17:$C$71,0)),{"일반","고급","희귀","전설"},0)),IF(H12="",0,MATCH(INDEX(작물!$B$17:$B$71,MATCH(H12,작물!$C$17:$C$71,0)),{"일반","고급","희귀","전설"},0)))),"작물 이름 확인")</f>
        <v>일반</v>
      </c>
      <c r="O12" s="6" t="str">
        <f t="shared" si="1"/>
        <v>OK</v>
      </c>
    </row>
    <row r="13" spans="1:15">
      <c r="A13" s="11">
        <v>9</v>
      </c>
      <c r="B13" s="4" t="s">
        <v>157</v>
      </c>
      <c r="C13" s="4" t="s">
        <v>397</v>
      </c>
      <c r="D13" s="4" t="s">
        <v>174</v>
      </c>
      <c r="E13" s="10">
        <v>2</v>
      </c>
      <c r="F13" s="4" t="s">
        <v>176</v>
      </c>
      <c r="G13" s="10">
        <v>1</v>
      </c>
      <c r="H13" s="4" t="s">
        <v>185</v>
      </c>
      <c r="I13" s="10">
        <v>1</v>
      </c>
      <c r="J13" s="11">
        <f t="shared" si="0"/>
        <v>4</v>
      </c>
      <c r="K13" s="13">
        <f>ROUND(INDEX(요리·별!$B$5:$B$8,MATCH(B13,요리·별!$A$5:$A$8,0))*(1-요리·별!$B$11),0)</f>
        <v>9</v>
      </c>
      <c r="L13" s="13">
        <f>ROUND(INDEX(요리·별!$B$5:$B$8,MATCH(B13,요리·별!$A$5:$A$8,0))*(1+요리·별!$B$11),0)</f>
        <v>11</v>
      </c>
      <c r="M13" s="13">
        <f>L13*요리·별!$B$18</f>
        <v>2200</v>
      </c>
      <c r="N13" s="7" t="str">
        <f>IFERROR(INDEX({"일반","고급","희귀","전설"},MAX(IF(D13="",0,MATCH(INDEX(작물!$B$17:$B$71,MATCH(D13,작물!$C$17:$C$71,0)),{"일반","고급","희귀","전설"},0)),IF(F13="",0,MATCH(INDEX(작물!$B$17:$B$71,MATCH(F13,작물!$C$17:$C$71,0)),{"일반","고급","희귀","전설"},0)),IF(H13="",0,MATCH(INDEX(작물!$B$17:$B$71,MATCH(H13,작물!$C$17:$C$71,0)),{"일반","고급","희귀","전설"},0)))),"작물 이름 확인")</f>
        <v>일반</v>
      </c>
      <c r="O13" s="6" t="str">
        <f t="shared" si="1"/>
        <v>OK</v>
      </c>
    </row>
    <row r="14" spans="1:15">
      <c r="A14" s="11">
        <v>10</v>
      </c>
      <c r="B14" s="4" t="s">
        <v>157</v>
      </c>
      <c r="C14" s="4" t="s">
        <v>398</v>
      </c>
      <c r="D14" s="4" t="s">
        <v>175</v>
      </c>
      <c r="E14" s="10">
        <v>2</v>
      </c>
      <c r="F14" s="4" t="s">
        <v>192</v>
      </c>
      <c r="G14" s="10">
        <v>2</v>
      </c>
      <c r="H14" s="4"/>
      <c r="I14" s="10"/>
      <c r="J14" s="11">
        <f t="shared" si="0"/>
        <v>4</v>
      </c>
      <c r="K14" s="13">
        <f>ROUND(INDEX(요리·별!$B$5:$B$8,MATCH(B14,요리·별!$A$5:$A$8,0))*(1-요리·별!$B$11),0)</f>
        <v>9</v>
      </c>
      <c r="L14" s="13">
        <f>ROUND(INDEX(요리·별!$B$5:$B$8,MATCH(B14,요리·별!$A$5:$A$8,0))*(1+요리·별!$B$11),0)</f>
        <v>11</v>
      </c>
      <c r="M14" s="13">
        <f>L14*요리·별!$B$18</f>
        <v>2200</v>
      </c>
      <c r="N14" s="7" t="str">
        <f>IFERROR(INDEX({"일반","고급","희귀","전설"},MAX(IF(D14="",0,MATCH(INDEX(작물!$B$17:$B$71,MATCH(D14,작물!$C$17:$C$71,0)),{"일반","고급","희귀","전설"},0)),IF(F14="",0,MATCH(INDEX(작물!$B$17:$B$71,MATCH(F14,작물!$C$17:$C$71,0)),{"일반","고급","희귀","전설"},0)),IF(H14="",0,MATCH(INDEX(작물!$B$17:$B$71,MATCH(H14,작물!$C$17:$C$71,0)),{"일반","고급","희귀","전설"},0)))),"작물 이름 확인")</f>
        <v>일반</v>
      </c>
      <c r="O14" s="6" t="str">
        <f t="shared" si="1"/>
        <v>OK</v>
      </c>
    </row>
    <row r="15" spans="1:15">
      <c r="A15" s="11">
        <v>11</v>
      </c>
      <c r="B15" s="4" t="s">
        <v>157</v>
      </c>
      <c r="C15" s="4" t="s">
        <v>399</v>
      </c>
      <c r="D15" s="4" t="s">
        <v>175</v>
      </c>
      <c r="E15" s="10">
        <v>2</v>
      </c>
      <c r="F15" s="4" t="s">
        <v>184</v>
      </c>
      <c r="G15" s="10">
        <v>1</v>
      </c>
      <c r="H15" s="4" t="s">
        <v>176</v>
      </c>
      <c r="I15" s="10">
        <v>1</v>
      </c>
      <c r="J15" s="11">
        <f t="shared" si="0"/>
        <v>4</v>
      </c>
      <c r="K15" s="13">
        <f>ROUND(INDEX(요리·별!$B$5:$B$8,MATCH(B15,요리·별!$A$5:$A$8,0))*(1-요리·별!$B$11),0)</f>
        <v>9</v>
      </c>
      <c r="L15" s="13">
        <f>ROUND(INDEX(요리·별!$B$5:$B$8,MATCH(B15,요리·별!$A$5:$A$8,0))*(1+요리·별!$B$11),0)</f>
        <v>11</v>
      </c>
      <c r="M15" s="13">
        <f>L15*요리·별!$B$18</f>
        <v>2200</v>
      </c>
      <c r="N15" s="7" t="str">
        <f>IFERROR(INDEX({"일반","고급","희귀","전설"},MAX(IF(D15="",0,MATCH(INDEX(작물!$B$17:$B$71,MATCH(D15,작물!$C$17:$C$71,0)),{"일반","고급","희귀","전설"},0)),IF(F15="",0,MATCH(INDEX(작물!$B$17:$B$71,MATCH(F15,작물!$C$17:$C$71,0)),{"일반","고급","희귀","전설"},0)),IF(H15="",0,MATCH(INDEX(작물!$B$17:$B$71,MATCH(H15,작물!$C$17:$C$71,0)),{"일반","고급","희귀","전설"},0)))),"작물 이름 확인")</f>
        <v>일반</v>
      </c>
      <c r="O15" s="6" t="str">
        <f t="shared" si="1"/>
        <v>OK</v>
      </c>
    </row>
    <row r="16" spans="1:15">
      <c r="A16" s="11">
        <v>12</v>
      </c>
      <c r="B16" s="4" t="s">
        <v>157</v>
      </c>
      <c r="C16" s="4" t="s">
        <v>400</v>
      </c>
      <c r="D16" s="4" t="s">
        <v>181</v>
      </c>
      <c r="E16" s="10">
        <v>3</v>
      </c>
      <c r="F16" s="4" t="s">
        <v>189</v>
      </c>
      <c r="G16" s="10">
        <v>2</v>
      </c>
      <c r="H16" s="4" t="s">
        <v>180</v>
      </c>
      <c r="I16" s="10">
        <v>2</v>
      </c>
      <c r="J16" s="11">
        <f t="shared" si="0"/>
        <v>7</v>
      </c>
      <c r="K16" s="13">
        <f>ROUND(INDEX(요리·별!$B$5:$B$8,MATCH(B16,요리·별!$A$5:$A$8,0))*(1-요리·별!$B$11),0)</f>
        <v>9</v>
      </c>
      <c r="L16" s="13">
        <f>ROUND(INDEX(요리·별!$B$5:$B$8,MATCH(B16,요리·별!$A$5:$A$8,0))*(1+요리·별!$B$11),0)</f>
        <v>11</v>
      </c>
      <c r="M16" s="13">
        <f>L16*요리·별!$B$18</f>
        <v>2200</v>
      </c>
      <c r="N16" s="7" t="str">
        <f>IFERROR(INDEX({"일반","고급","희귀","전설"},MAX(IF(D16="",0,MATCH(INDEX(작물!$B$17:$B$71,MATCH(D16,작물!$C$17:$C$71,0)),{"일반","고급","희귀","전설"},0)),IF(F16="",0,MATCH(INDEX(작물!$B$17:$B$71,MATCH(F16,작물!$C$17:$C$71,0)),{"일반","고급","희귀","전설"},0)),IF(H16="",0,MATCH(INDEX(작물!$B$17:$B$71,MATCH(H16,작물!$C$17:$C$71,0)),{"일반","고급","희귀","전설"},0)))),"작물 이름 확인")</f>
        <v>일반</v>
      </c>
      <c r="O16" s="6" t="str">
        <f t="shared" si="1"/>
        <v>OK</v>
      </c>
    </row>
    <row r="17" spans="1:15">
      <c r="A17" s="11">
        <v>13</v>
      </c>
      <c r="B17" s="4" t="s">
        <v>157</v>
      </c>
      <c r="C17" s="4" t="s">
        <v>401</v>
      </c>
      <c r="D17" s="4" t="s">
        <v>177</v>
      </c>
      <c r="E17" s="10">
        <v>3</v>
      </c>
      <c r="F17" s="4" t="s">
        <v>189</v>
      </c>
      <c r="G17" s="10">
        <v>2</v>
      </c>
      <c r="H17" s="4" t="s">
        <v>180</v>
      </c>
      <c r="I17" s="10">
        <v>1</v>
      </c>
      <c r="J17" s="11">
        <f t="shared" si="0"/>
        <v>6</v>
      </c>
      <c r="K17" s="13">
        <f>ROUND(INDEX(요리·별!$B$5:$B$8,MATCH(B17,요리·별!$A$5:$A$8,0))*(1-요리·별!$B$11),0)</f>
        <v>9</v>
      </c>
      <c r="L17" s="13">
        <f>ROUND(INDEX(요리·별!$B$5:$B$8,MATCH(B17,요리·별!$A$5:$A$8,0))*(1+요리·별!$B$11),0)</f>
        <v>11</v>
      </c>
      <c r="M17" s="13">
        <f>L17*요리·별!$B$18</f>
        <v>2200</v>
      </c>
      <c r="N17" s="7" t="str">
        <f>IFERROR(INDEX({"일반","고급","희귀","전설"},MAX(IF(D17="",0,MATCH(INDEX(작물!$B$17:$B$71,MATCH(D17,작물!$C$17:$C$71,0)),{"일반","고급","희귀","전설"},0)),IF(F17="",0,MATCH(INDEX(작물!$B$17:$B$71,MATCH(F17,작물!$C$17:$C$71,0)),{"일반","고급","희귀","전설"},0)),IF(H17="",0,MATCH(INDEX(작물!$B$17:$B$71,MATCH(H17,작물!$C$17:$C$71,0)),{"일반","고급","희귀","전설"},0)))),"작물 이름 확인")</f>
        <v>일반</v>
      </c>
      <c r="O17" s="6" t="str">
        <f t="shared" si="1"/>
        <v>OK</v>
      </c>
    </row>
    <row r="18" spans="1:15">
      <c r="A18" s="11">
        <v>14</v>
      </c>
      <c r="B18" s="4" t="s">
        <v>157</v>
      </c>
      <c r="C18" s="4" t="s">
        <v>402</v>
      </c>
      <c r="D18" s="4" t="s">
        <v>185</v>
      </c>
      <c r="E18" s="10">
        <v>3</v>
      </c>
      <c r="F18" s="4" t="s">
        <v>189</v>
      </c>
      <c r="G18" s="10">
        <v>1</v>
      </c>
      <c r="H18" s="4" t="s">
        <v>179</v>
      </c>
      <c r="I18" s="10">
        <v>1</v>
      </c>
      <c r="J18" s="11">
        <f t="shared" si="0"/>
        <v>5</v>
      </c>
      <c r="K18" s="13">
        <f>ROUND(INDEX(요리·별!$B$5:$B$8,MATCH(B18,요리·별!$A$5:$A$8,0))*(1-요리·별!$B$11),0)</f>
        <v>9</v>
      </c>
      <c r="L18" s="13">
        <f>ROUND(INDEX(요리·별!$B$5:$B$8,MATCH(B18,요리·별!$A$5:$A$8,0))*(1+요리·별!$B$11),0)</f>
        <v>11</v>
      </c>
      <c r="M18" s="13">
        <f>L18*요리·별!$B$18</f>
        <v>2200</v>
      </c>
      <c r="N18" s="7" t="str">
        <f>IFERROR(INDEX({"일반","고급","희귀","전설"},MAX(IF(D18="",0,MATCH(INDEX(작물!$B$17:$B$71,MATCH(D18,작물!$C$17:$C$71,0)),{"일반","고급","희귀","전설"},0)),IF(F18="",0,MATCH(INDEX(작물!$B$17:$B$71,MATCH(F18,작물!$C$17:$C$71,0)),{"일반","고급","희귀","전설"},0)),IF(H18="",0,MATCH(INDEX(작물!$B$17:$B$71,MATCH(H18,작물!$C$17:$C$71,0)),{"일반","고급","희귀","전설"},0)))),"작물 이름 확인")</f>
        <v>일반</v>
      </c>
      <c r="O18" s="6" t="str">
        <f t="shared" si="1"/>
        <v>OK</v>
      </c>
    </row>
    <row r="19" spans="1:15">
      <c r="A19" s="11">
        <v>15</v>
      </c>
      <c r="B19" s="4" t="s">
        <v>157</v>
      </c>
      <c r="C19" s="4" t="s">
        <v>403</v>
      </c>
      <c r="D19" s="4" t="s">
        <v>185</v>
      </c>
      <c r="E19" s="10">
        <v>2</v>
      </c>
      <c r="F19" s="4" t="s">
        <v>178</v>
      </c>
      <c r="G19" s="10">
        <v>1</v>
      </c>
      <c r="H19" s="4" t="s">
        <v>189</v>
      </c>
      <c r="I19" s="10">
        <v>1</v>
      </c>
      <c r="J19" s="11">
        <f t="shared" si="0"/>
        <v>4</v>
      </c>
      <c r="K19" s="13">
        <f>ROUND(INDEX(요리·별!$B$5:$B$8,MATCH(B19,요리·별!$A$5:$A$8,0))*(1-요리·별!$B$11),0)</f>
        <v>9</v>
      </c>
      <c r="L19" s="13">
        <f>ROUND(INDEX(요리·별!$B$5:$B$8,MATCH(B19,요리·별!$A$5:$A$8,0))*(1+요리·별!$B$11),0)</f>
        <v>11</v>
      </c>
      <c r="M19" s="13">
        <f>L19*요리·별!$B$18</f>
        <v>2200</v>
      </c>
      <c r="N19" s="7" t="str">
        <f>IFERROR(INDEX({"일반","고급","희귀","전설"},MAX(IF(D19="",0,MATCH(INDEX(작물!$B$17:$B$71,MATCH(D19,작물!$C$17:$C$71,0)),{"일반","고급","희귀","전설"},0)),IF(F19="",0,MATCH(INDEX(작물!$B$17:$B$71,MATCH(F19,작물!$C$17:$C$71,0)),{"일반","고급","희귀","전설"},0)),IF(H19="",0,MATCH(INDEX(작물!$B$17:$B$71,MATCH(H19,작물!$C$17:$C$71,0)),{"일반","고급","희귀","전설"},0)))),"작물 이름 확인")</f>
        <v>일반</v>
      </c>
      <c r="O19" s="6" t="str">
        <f t="shared" si="1"/>
        <v>OK</v>
      </c>
    </row>
    <row r="20" spans="1:15">
      <c r="A20" s="11">
        <v>16</v>
      </c>
      <c r="B20" s="4" t="s">
        <v>157</v>
      </c>
      <c r="C20" s="4" t="s">
        <v>404</v>
      </c>
      <c r="D20" s="4" t="s">
        <v>177</v>
      </c>
      <c r="E20" s="10">
        <v>2</v>
      </c>
      <c r="F20" s="4" t="s">
        <v>179</v>
      </c>
      <c r="G20" s="10">
        <v>1</v>
      </c>
      <c r="H20" s="4" t="s">
        <v>180</v>
      </c>
      <c r="I20" s="10">
        <v>1</v>
      </c>
      <c r="J20" s="11">
        <f t="shared" si="0"/>
        <v>4</v>
      </c>
      <c r="K20" s="13">
        <f>ROUND(INDEX(요리·별!$B$5:$B$8,MATCH(B20,요리·별!$A$5:$A$8,0))*(1-요리·별!$B$11),0)</f>
        <v>9</v>
      </c>
      <c r="L20" s="13">
        <f>ROUND(INDEX(요리·별!$B$5:$B$8,MATCH(B20,요리·별!$A$5:$A$8,0))*(1+요리·별!$B$11),0)</f>
        <v>11</v>
      </c>
      <c r="M20" s="13">
        <f>L20*요리·별!$B$18</f>
        <v>2200</v>
      </c>
      <c r="N20" s="7" t="str">
        <f>IFERROR(INDEX({"일반","고급","희귀","전설"},MAX(IF(D20="",0,MATCH(INDEX(작물!$B$17:$B$71,MATCH(D20,작물!$C$17:$C$71,0)),{"일반","고급","희귀","전설"},0)),IF(F20="",0,MATCH(INDEX(작물!$B$17:$B$71,MATCH(F20,작물!$C$17:$C$71,0)),{"일반","고급","희귀","전설"},0)),IF(H20="",0,MATCH(INDEX(작물!$B$17:$B$71,MATCH(H20,작물!$C$17:$C$71,0)),{"일반","고급","희귀","전설"},0)))),"작물 이름 확인")</f>
        <v>일반</v>
      </c>
      <c r="O20" s="6" t="str">
        <f t="shared" si="1"/>
        <v>OK</v>
      </c>
    </row>
    <row r="21" spans="1:15">
      <c r="A21" s="11">
        <v>17</v>
      </c>
      <c r="B21" s="4" t="s">
        <v>157</v>
      </c>
      <c r="C21" s="4" t="s">
        <v>405</v>
      </c>
      <c r="D21" s="4" t="s">
        <v>184</v>
      </c>
      <c r="E21" s="10">
        <v>3</v>
      </c>
      <c r="F21" s="4" t="s">
        <v>180</v>
      </c>
      <c r="G21" s="10">
        <v>1</v>
      </c>
      <c r="H21" s="4"/>
      <c r="I21" s="10"/>
      <c r="J21" s="11">
        <f t="shared" si="0"/>
        <v>4</v>
      </c>
      <c r="K21" s="13">
        <f>ROUND(INDEX(요리·별!$B$5:$B$8,MATCH(B21,요리·별!$A$5:$A$8,0))*(1-요리·별!$B$11),0)</f>
        <v>9</v>
      </c>
      <c r="L21" s="13">
        <f>ROUND(INDEX(요리·별!$B$5:$B$8,MATCH(B21,요리·별!$A$5:$A$8,0))*(1+요리·별!$B$11),0)</f>
        <v>11</v>
      </c>
      <c r="M21" s="13">
        <f>L21*요리·별!$B$18</f>
        <v>2200</v>
      </c>
      <c r="N21" s="7" t="str">
        <f>IFERROR(INDEX({"일반","고급","희귀","전설"},MAX(IF(D21="",0,MATCH(INDEX(작물!$B$17:$B$71,MATCH(D21,작물!$C$17:$C$71,0)),{"일반","고급","희귀","전설"},0)),IF(F21="",0,MATCH(INDEX(작물!$B$17:$B$71,MATCH(F21,작물!$C$17:$C$71,0)),{"일반","고급","희귀","전설"},0)),IF(H21="",0,MATCH(INDEX(작물!$B$17:$B$71,MATCH(H21,작물!$C$17:$C$71,0)),{"일반","고급","희귀","전설"},0)))),"작물 이름 확인")</f>
        <v>일반</v>
      </c>
      <c r="O21" s="6" t="str">
        <f t="shared" si="1"/>
        <v>OK</v>
      </c>
    </row>
    <row r="22" spans="1:15">
      <c r="A22" s="11">
        <v>18</v>
      </c>
      <c r="B22" s="4" t="s">
        <v>157</v>
      </c>
      <c r="C22" s="4" t="s">
        <v>406</v>
      </c>
      <c r="D22" s="4" t="s">
        <v>183</v>
      </c>
      <c r="E22" s="10">
        <v>3</v>
      </c>
      <c r="F22" s="4" t="s">
        <v>189</v>
      </c>
      <c r="G22" s="10">
        <v>1</v>
      </c>
      <c r="H22" s="4" t="s">
        <v>179</v>
      </c>
      <c r="I22" s="10">
        <v>1</v>
      </c>
      <c r="J22" s="11">
        <f t="shared" si="0"/>
        <v>5</v>
      </c>
      <c r="K22" s="13">
        <f>ROUND(INDEX(요리·별!$B$5:$B$8,MATCH(B22,요리·별!$A$5:$A$8,0))*(1-요리·별!$B$11),0)</f>
        <v>9</v>
      </c>
      <c r="L22" s="13">
        <f>ROUND(INDEX(요리·별!$B$5:$B$8,MATCH(B22,요리·별!$A$5:$A$8,0))*(1+요리·별!$B$11),0)</f>
        <v>11</v>
      </c>
      <c r="M22" s="13">
        <f>L22*요리·별!$B$18</f>
        <v>2200</v>
      </c>
      <c r="N22" s="7" t="str">
        <f>IFERROR(INDEX({"일반","고급","희귀","전설"},MAX(IF(D22="",0,MATCH(INDEX(작물!$B$17:$B$71,MATCH(D22,작물!$C$17:$C$71,0)),{"일반","고급","희귀","전설"},0)),IF(F22="",0,MATCH(INDEX(작물!$B$17:$B$71,MATCH(F22,작물!$C$17:$C$71,0)),{"일반","고급","희귀","전설"},0)),IF(H22="",0,MATCH(INDEX(작물!$B$17:$B$71,MATCH(H22,작물!$C$17:$C$71,0)),{"일반","고급","희귀","전설"},0)))),"작물 이름 확인")</f>
        <v>일반</v>
      </c>
      <c r="O22" s="6" t="str">
        <f t="shared" si="1"/>
        <v>OK</v>
      </c>
    </row>
    <row r="23" spans="1:15">
      <c r="A23" s="11">
        <v>19</v>
      </c>
      <c r="B23" s="4" t="s">
        <v>157</v>
      </c>
      <c r="C23" s="4" t="s">
        <v>407</v>
      </c>
      <c r="D23" s="4" t="s">
        <v>183</v>
      </c>
      <c r="E23" s="10">
        <v>2</v>
      </c>
      <c r="F23" s="4" t="s">
        <v>191</v>
      </c>
      <c r="G23" s="10">
        <v>2</v>
      </c>
      <c r="H23" s="4" t="s">
        <v>193</v>
      </c>
      <c r="I23" s="10">
        <v>1</v>
      </c>
      <c r="J23" s="11">
        <f t="shared" si="0"/>
        <v>5</v>
      </c>
      <c r="K23" s="13">
        <f>ROUND(INDEX(요리·별!$B$5:$B$8,MATCH(B23,요리·별!$A$5:$A$8,0))*(1-요리·별!$B$11),0)</f>
        <v>9</v>
      </c>
      <c r="L23" s="13">
        <f>ROUND(INDEX(요리·별!$B$5:$B$8,MATCH(B23,요리·별!$A$5:$A$8,0))*(1+요리·별!$B$11),0)</f>
        <v>11</v>
      </c>
      <c r="M23" s="13">
        <f>L23*요리·별!$B$18</f>
        <v>2200</v>
      </c>
      <c r="N23" s="7" t="str">
        <f>IFERROR(INDEX({"일반","고급","희귀","전설"},MAX(IF(D23="",0,MATCH(INDEX(작물!$B$17:$B$71,MATCH(D23,작물!$C$17:$C$71,0)),{"일반","고급","희귀","전설"},0)),IF(F23="",0,MATCH(INDEX(작물!$B$17:$B$71,MATCH(F23,작물!$C$17:$C$71,0)),{"일반","고급","희귀","전설"},0)),IF(H23="",0,MATCH(INDEX(작물!$B$17:$B$71,MATCH(H23,작물!$C$17:$C$71,0)),{"일반","고급","희귀","전설"},0)))),"작물 이름 확인")</f>
        <v>일반</v>
      </c>
      <c r="O23" s="6" t="str">
        <f t="shared" si="1"/>
        <v>OK</v>
      </c>
    </row>
    <row r="24" spans="1:15">
      <c r="A24" s="11">
        <v>20</v>
      </c>
      <c r="B24" s="4" t="s">
        <v>157</v>
      </c>
      <c r="C24" s="4" t="s">
        <v>408</v>
      </c>
      <c r="D24" s="4" t="s">
        <v>182</v>
      </c>
      <c r="E24" s="10">
        <v>2</v>
      </c>
      <c r="F24" s="4" t="s">
        <v>176</v>
      </c>
      <c r="G24" s="10">
        <v>1</v>
      </c>
      <c r="H24" s="4" t="s">
        <v>185</v>
      </c>
      <c r="I24" s="10">
        <v>1</v>
      </c>
      <c r="J24" s="11">
        <f t="shared" si="0"/>
        <v>4</v>
      </c>
      <c r="K24" s="13">
        <f>ROUND(INDEX(요리·별!$B$5:$B$8,MATCH(B24,요리·별!$A$5:$A$8,0))*(1-요리·별!$B$11),0)</f>
        <v>9</v>
      </c>
      <c r="L24" s="13">
        <f>ROUND(INDEX(요리·별!$B$5:$B$8,MATCH(B24,요리·별!$A$5:$A$8,0))*(1+요리·별!$B$11),0)</f>
        <v>11</v>
      </c>
      <c r="M24" s="13">
        <f>L24*요리·별!$B$18</f>
        <v>2200</v>
      </c>
      <c r="N24" s="7" t="str">
        <f>IFERROR(INDEX({"일반","고급","희귀","전설"},MAX(IF(D24="",0,MATCH(INDEX(작물!$B$17:$B$71,MATCH(D24,작물!$C$17:$C$71,0)),{"일반","고급","희귀","전설"},0)),IF(F24="",0,MATCH(INDEX(작물!$B$17:$B$71,MATCH(F24,작물!$C$17:$C$71,0)),{"일반","고급","희귀","전설"},0)),IF(H24="",0,MATCH(INDEX(작물!$B$17:$B$71,MATCH(H24,작물!$C$17:$C$71,0)),{"일반","고급","희귀","전설"},0)))),"작물 이름 확인")</f>
        <v>일반</v>
      </c>
      <c r="O24" s="6" t="str">
        <f t="shared" si="1"/>
        <v>OK</v>
      </c>
    </row>
    <row r="25" spans="1:15">
      <c r="A25" s="11">
        <v>21</v>
      </c>
      <c r="B25" s="4" t="s">
        <v>157</v>
      </c>
      <c r="C25" s="4" t="s">
        <v>409</v>
      </c>
      <c r="D25" s="4" t="s">
        <v>182</v>
      </c>
      <c r="E25" s="10">
        <v>3</v>
      </c>
      <c r="F25" s="4" t="s">
        <v>191</v>
      </c>
      <c r="G25" s="10">
        <v>1</v>
      </c>
      <c r="H25" s="4" t="s">
        <v>188</v>
      </c>
      <c r="I25" s="10">
        <v>1</v>
      </c>
      <c r="J25" s="11">
        <f t="shared" si="0"/>
        <v>5</v>
      </c>
      <c r="K25" s="13">
        <f>ROUND(INDEX(요리·별!$B$5:$B$8,MATCH(B25,요리·별!$A$5:$A$8,0))*(1-요리·별!$B$11),0)</f>
        <v>9</v>
      </c>
      <c r="L25" s="13">
        <f>ROUND(INDEX(요리·별!$B$5:$B$8,MATCH(B25,요리·별!$A$5:$A$8,0))*(1+요리·별!$B$11),0)</f>
        <v>11</v>
      </c>
      <c r="M25" s="13">
        <f>L25*요리·별!$B$18</f>
        <v>2200</v>
      </c>
      <c r="N25" s="7" t="str">
        <f>IFERROR(INDEX({"일반","고급","희귀","전설"},MAX(IF(D25="",0,MATCH(INDEX(작물!$B$17:$B$71,MATCH(D25,작물!$C$17:$C$71,0)),{"일반","고급","희귀","전설"},0)),IF(F25="",0,MATCH(INDEX(작물!$B$17:$B$71,MATCH(F25,작물!$C$17:$C$71,0)),{"일반","고급","희귀","전설"},0)),IF(H25="",0,MATCH(INDEX(작물!$B$17:$B$71,MATCH(H25,작물!$C$17:$C$71,0)),{"일반","고급","희귀","전설"},0)))),"작물 이름 확인")</f>
        <v>일반</v>
      </c>
      <c r="O25" s="6" t="str">
        <f t="shared" si="1"/>
        <v>OK</v>
      </c>
    </row>
    <row r="26" spans="1:15">
      <c r="A26" s="11">
        <v>22</v>
      </c>
      <c r="B26" s="4" t="s">
        <v>157</v>
      </c>
      <c r="C26" s="4" t="s">
        <v>410</v>
      </c>
      <c r="D26" s="4" t="s">
        <v>187</v>
      </c>
      <c r="E26" s="10">
        <v>3</v>
      </c>
      <c r="F26" s="4" t="s">
        <v>180</v>
      </c>
      <c r="G26" s="10">
        <v>1</v>
      </c>
      <c r="H26" s="4"/>
      <c r="I26" s="10"/>
      <c r="J26" s="11">
        <f t="shared" si="0"/>
        <v>4</v>
      </c>
      <c r="K26" s="13">
        <f>ROUND(INDEX(요리·별!$B$5:$B$8,MATCH(B26,요리·별!$A$5:$A$8,0))*(1-요리·별!$B$11),0)</f>
        <v>9</v>
      </c>
      <c r="L26" s="13">
        <f>ROUND(INDEX(요리·별!$B$5:$B$8,MATCH(B26,요리·별!$A$5:$A$8,0))*(1+요리·별!$B$11),0)</f>
        <v>11</v>
      </c>
      <c r="M26" s="13">
        <f>L26*요리·별!$B$18</f>
        <v>2200</v>
      </c>
      <c r="N26" s="7" t="str">
        <f>IFERROR(INDEX({"일반","고급","희귀","전설"},MAX(IF(D26="",0,MATCH(INDEX(작물!$B$17:$B$71,MATCH(D26,작물!$C$17:$C$71,0)),{"일반","고급","희귀","전설"},0)),IF(F26="",0,MATCH(INDEX(작물!$B$17:$B$71,MATCH(F26,작물!$C$17:$C$71,0)),{"일반","고급","희귀","전설"},0)),IF(H26="",0,MATCH(INDEX(작물!$B$17:$B$71,MATCH(H26,작물!$C$17:$C$71,0)),{"일반","고급","희귀","전설"},0)))),"작물 이름 확인")</f>
        <v>일반</v>
      </c>
      <c r="O26" s="6" t="str">
        <f t="shared" si="1"/>
        <v>OK</v>
      </c>
    </row>
    <row r="27" spans="1:15">
      <c r="A27" s="11">
        <v>23</v>
      </c>
      <c r="B27" s="4" t="s">
        <v>157</v>
      </c>
      <c r="C27" s="4" t="s">
        <v>411</v>
      </c>
      <c r="D27" s="4" t="s">
        <v>187</v>
      </c>
      <c r="E27" s="10">
        <v>1</v>
      </c>
      <c r="F27" s="4" t="s">
        <v>186</v>
      </c>
      <c r="G27" s="10">
        <v>1</v>
      </c>
      <c r="H27" s="4" t="s">
        <v>188</v>
      </c>
      <c r="I27" s="10">
        <v>1</v>
      </c>
      <c r="J27" s="11">
        <f t="shared" si="0"/>
        <v>3</v>
      </c>
      <c r="K27" s="13">
        <f>ROUND(INDEX(요리·별!$B$5:$B$8,MATCH(B27,요리·별!$A$5:$A$8,0))*(1-요리·별!$B$11),0)</f>
        <v>9</v>
      </c>
      <c r="L27" s="13">
        <f>ROUND(INDEX(요리·별!$B$5:$B$8,MATCH(B27,요리·별!$A$5:$A$8,0))*(1+요리·별!$B$11),0)</f>
        <v>11</v>
      </c>
      <c r="M27" s="13">
        <f>L27*요리·별!$B$18</f>
        <v>2200</v>
      </c>
      <c r="N27" s="7" t="str">
        <f>IFERROR(INDEX({"일반","고급","희귀","전설"},MAX(IF(D27="",0,MATCH(INDEX(작물!$B$17:$B$71,MATCH(D27,작물!$C$17:$C$71,0)),{"일반","고급","희귀","전설"},0)),IF(F27="",0,MATCH(INDEX(작물!$B$17:$B$71,MATCH(F27,작물!$C$17:$C$71,0)),{"일반","고급","희귀","전설"},0)),IF(H27="",0,MATCH(INDEX(작물!$B$17:$B$71,MATCH(H27,작물!$C$17:$C$71,0)),{"일반","고급","희귀","전설"},0)))),"작물 이름 확인")</f>
        <v>일반</v>
      </c>
      <c r="O27" s="6" t="str">
        <f t="shared" si="1"/>
        <v>OK</v>
      </c>
    </row>
    <row r="28" spans="1:15">
      <c r="A28" s="11">
        <v>24</v>
      </c>
      <c r="B28" s="4" t="s">
        <v>157</v>
      </c>
      <c r="C28" s="4" t="s">
        <v>412</v>
      </c>
      <c r="D28" s="4" t="s">
        <v>186</v>
      </c>
      <c r="E28" s="10">
        <v>2</v>
      </c>
      <c r="F28" s="4" t="s">
        <v>192</v>
      </c>
      <c r="G28" s="10">
        <v>1</v>
      </c>
      <c r="H28" s="4"/>
      <c r="I28" s="10"/>
      <c r="J28" s="11">
        <f t="shared" si="0"/>
        <v>3</v>
      </c>
      <c r="K28" s="13">
        <f>ROUND(INDEX(요리·별!$B$5:$B$8,MATCH(B28,요리·별!$A$5:$A$8,0))*(1-요리·별!$B$11),0)</f>
        <v>9</v>
      </c>
      <c r="L28" s="13">
        <f>ROUND(INDEX(요리·별!$B$5:$B$8,MATCH(B28,요리·별!$A$5:$A$8,0))*(1+요리·별!$B$11),0)</f>
        <v>11</v>
      </c>
      <c r="M28" s="13">
        <f>L28*요리·별!$B$18</f>
        <v>2200</v>
      </c>
      <c r="N28" s="7" t="str">
        <f>IFERROR(INDEX({"일반","고급","희귀","전설"},MAX(IF(D28="",0,MATCH(INDEX(작물!$B$17:$B$71,MATCH(D28,작물!$C$17:$C$71,0)),{"일반","고급","희귀","전설"},0)),IF(F28="",0,MATCH(INDEX(작물!$B$17:$B$71,MATCH(F28,작물!$C$17:$C$71,0)),{"일반","고급","희귀","전설"},0)),IF(H28="",0,MATCH(INDEX(작물!$B$17:$B$71,MATCH(H28,작물!$C$17:$C$71,0)),{"일반","고급","희귀","전설"},0)))),"작물 이름 확인")</f>
        <v>일반</v>
      </c>
      <c r="O28" s="6" t="str">
        <f t="shared" si="1"/>
        <v>OK</v>
      </c>
    </row>
    <row r="29" spans="1:15">
      <c r="A29" s="11">
        <v>25</v>
      </c>
      <c r="B29" s="4" t="s">
        <v>157</v>
      </c>
      <c r="C29" s="4" t="s">
        <v>413</v>
      </c>
      <c r="D29" s="4" t="s">
        <v>193</v>
      </c>
      <c r="E29" s="10">
        <v>2</v>
      </c>
      <c r="F29" s="4" t="s">
        <v>174</v>
      </c>
      <c r="G29" s="10">
        <v>1</v>
      </c>
      <c r="H29" s="4" t="s">
        <v>186</v>
      </c>
      <c r="I29" s="10">
        <v>1</v>
      </c>
      <c r="J29" s="11">
        <f t="shared" si="0"/>
        <v>4</v>
      </c>
      <c r="K29" s="13">
        <f>ROUND(INDEX(요리·별!$B$5:$B$8,MATCH(B29,요리·별!$A$5:$A$8,0))*(1-요리·별!$B$11),0)</f>
        <v>9</v>
      </c>
      <c r="L29" s="13">
        <f>ROUND(INDEX(요리·별!$B$5:$B$8,MATCH(B29,요리·별!$A$5:$A$8,0))*(1+요리·별!$B$11),0)</f>
        <v>11</v>
      </c>
      <c r="M29" s="13">
        <f>L29*요리·별!$B$18</f>
        <v>2200</v>
      </c>
      <c r="N29" s="7" t="str">
        <f>IFERROR(INDEX({"일반","고급","희귀","전설"},MAX(IF(D29="",0,MATCH(INDEX(작물!$B$17:$B$71,MATCH(D29,작물!$C$17:$C$71,0)),{"일반","고급","희귀","전설"},0)),IF(F29="",0,MATCH(INDEX(작물!$B$17:$B$71,MATCH(F29,작물!$C$17:$C$71,0)),{"일반","고급","희귀","전설"},0)),IF(H29="",0,MATCH(INDEX(작물!$B$17:$B$71,MATCH(H29,작물!$C$17:$C$71,0)),{"일반","고급","희귀","전설"},0)))),"작물 이름 확인")</f>
        <v>일반</v>
      </c>
      <c r="O29" s="6" t="str">
        <f t="shared" si="1"/>
        <v>OK</v>
      </c>
    </row>
    <row r="30" spans="1:15">
      <c r="A30" s="11">
        <v>26</v>
      </c>
      <c r="B30" s="4" t="s">
        <v>157</v>
      </c>
      <c r="C30" s="4" t="s">
        <v>414</v>
      </c>
      <c r="D30" s="4" t="s">
        <v>193</v>
      </c>
      <c r="E30" s="10">
        <v>3</v>
      </c>
      <c r="F30" s="4" t="s">
        <v>179</v>
      </c>
      <c r="G30" s="10">
        <v>1</v>
      </c>
      <c r="H30" s="4"/>
      <c r="I30" s="10"/>
      <c r="J30" s="11">
        <f t="shared" si="0"/>
        <v>4</v>
      </c>
      <c r="K30" s="13">
        <f>ROUND(INDEX(요리·별!$B$5:$B$8,MATCH(B30,요리·별!$A$5:$A$8,0))*(1-요리·별!$B$11),0)</f>
        <v>9</v>
      </c>
      <c r="L30" s="13">
        <f>ROUND(INDEX(요리·별!$B$5:$B$8,MATCH(B30,요리·별!$A$5:$A$8,0))*(1+요리·별!$B$11),0)</f>
        <v>11</v>
      </c>
      <c r="M30" s="13">
        <f>L30*요리·별!$B$18</f>
        <v>2200</v>
      </c>
      <c r="N30" s="7" t="str">
        <f>IFERROR(INDEX({"일반","고급","희귀","전설"},MAX(IF(D30="",0,MATCH(INDEX(작물!$B$17:$B$71,MATCH(D30,작물!$C$17:$C$71,0)),{"일반","고급","희귀","전설"},0)),IF(F30="",0,MATCH(INDEX(작물!$B$17:$B$71,MATCH(F30,작물!$C$17:$C$71,0)),{"일반","고급","희귀","전설"},0)),IF(H30="",0,MATCH(INDEX(작물!$B$17:$B$71,MATCH(H30,작물!$C$17:$C$71,0)),{"일반","고급","희귀","전설"},0)))),"작물 이름 확인")</f>
        <v>일반</v>
      </c>
      <c r="O30" s="6" t="str">
        <f t="shared" si="1"/>
        <v>OK</v>
      </c>
    </row>
    <row r="31" spans="1:15">
      <c r="A31" s="11">
        <v>27</v>
      </c>
      <c r="B31" s="4" t="s">
        <v>157</v>
      </c>
      <c r="C31" s="4" t="s">
        <v>415</v>
      </c>
      <c r="D31" s="4" t="s">
        <v>193</v>
      </c>
      <c r="E31" s="10">
        <v>3</v>
      </c>
      <c r="F31" s="4" t="s">
        <v>192</v>
      </c>
      <c r="G31" s="10">
        <v>2</v>
      </c>
      <c r="H31" s="4" t="s">
        <v>185</v>
      </c>
      <c r="I31" s="10">
        <v>1</v>
      </c>
      <c r="J31" s="11">
        <f t="shared" si="0"/>
        <v>6</v>
      </c>
      <c r="K31" s="13">
        <f>ROUND(INDEX(요리·별!$B$5:$B$8,MATCH(B31,요리·별!$A$5:$A$8,0))*(1-요리·별!$B$11),0)</f>
        <v>9</v>
      </c>
      <c r="L31" s="13">
        <f>ROUND(INDEX(요리·별!$B$5:$B$8,MATCH(B31,요리·별!$A$5:$A$8,0))*(1+요리·별!$B$11),0)</f>
        <v>11</v>
      </c>
      <c r="M31" s="13">
        <f>L31*요리·별!$B$18</f>
        <v>2200</v>
      </c>
      <c r="N31" s="7" t="str">
        <f>IFERROR(INDEX({"일반","고급","희귀","전설"},MAX(IF(D31="",0,MATCH(INDEX(작물!$B$17:$B$71,MATCH(D31,작물!$C$17:$C$71,0)),{"일반","고급","희귀","전설"},0)),IF(F31="",0,MATCH(INDEX(작물!$B$17:$B$71,MATCH(F31,작물!$C$17:$C$71,0)),{"일반","고급","희귀","전설"},0)),IF(H31="",0,MATCH(INDEX(작물!$B$17:$B$71,MATCH(H31,작물!$C$17:$C$71,0)),{"일반","고급","희귀","전설"},0)))),"작물 이름 확인")</f>
        <v>일반</v>
      </c>
      <c r="O31" s="6" t="str">
        <f t="shared" si="1"/>
        <v>OK</v>
      </c>
    </row>
    <row r="32" spans="1:15">
      <c r="A32" s="11">
        <v>28</v>
      </c>
      <c r="B32" s="4" t="s">
        <v>157</v>
      </c>
      <c r="C32" s="4" t="s">
        <v>416</v>
      </c>
      <c r="D32" s="4" t="s">
        <v>192</v>
      </c>
      <c r="E32" s="10">
        <v>3</v>
      </c>
      <c r="F32" s="4" t="s">
        <v>186</v>
      </c>
      <c r="G32" s="10">
        <v>1</v>
      </c>
      <c r="H32" s="4" t="s">
        <v>174</v>
      </c>
      <c r="I32" s="10">
        <v>1</v>
      </c>
      <c r="J32" s="11">
        <f t="shared" si="0"/>
        <v>5</v>
      </c>
      <c r="K32" s="13">
        <f>ROUND(INDEX(요리·별!$B$5:$B$8,MATCH(B32,요리·별!$A$5:$A$8,0))*(1-요리·별!$B$11),0)</f>
        <v>9</v>
      </c>
      <c r="L32" s="13">
        <f>ROUND(INDEX(요리·별!$B$5:$B$8,MATCH(B32,요리·별!$A$5:$A$8,0))*(1+요리·별!$B$11),0)</f>
        <v>11</v>
      </c>
      <c r="M32" s="13">
        <f>L32*요리·별!$B$18</f>
        <v>2200</v>
      </c>
      <c r="N32" s="7" t="str">
        <f>IFERROR(INDEX({"일반","고급","희귀","전설"},MAX(IF(D32="",0,MATCH(INDEX(작물!$B$17:$B$71,MATCH(D32,작물!$C$17:$C$71,0)),{"일반","고급","희귀","전설"},0)),IF(F32="",0,MATCH(INDEX(작물!$B$17:$B$71,MATCH(F32,작물!$C$17:$C$71,0)),{"일반","고급","희귀","전설"},0)),IF(H32="",0,MATCH(INDEX(작물!$B$17:$B$71,MATCH(H32,작물!$C$17:$C$71,0)),{"일반","고급","희귀","전설"},0)))),"작물 이름 확인")</f>
        <v>일반</v>
      </c>
      <c r="O32" s="6" t="str">
        <f t="shared" si="1"/>
        <v>OK</v>
      </c>
    </row>
    <row r="33" spans="1:15">
      <c r="A33" s="11">
        <v>29</v>
      </c>
      <c r="B33" s="4" t="s">
        <v>157</v>
      </c>
      <c r="C33" s="4" t="s">
        <v>417</v>
      </c>
      <c r="D33" s="4" t="s">
        <v>192</v>
      </c>
      <c r="E33" s="10">
        <v>2</v>
      </c>
      <c r="F33" s="4" t="s">
        <v>179</v>
      </c>
      <c r="G33" s="10">
        <v>3</v>
      </c>
      <c r="H33" s="4"/>
      <c r="I33" s="10"/>
      <c r="J33" s="11">
        <f t="shared" si="0"/>
        <v>5</v>
      </c>
      <c r="K33" s="13">
        <f>ROUND(INDEX(요리·별!$B$5:$B$8,MATCH(B33,요리·별!$A$5:$A$8,0))*(1-요리·별!$B$11),0)</f>
        <v>9</v>
      </c>
      <c r="L33" s="13">
        <f>ROUND(INDEX(요리·별!$B$5:$B$8,MATCH(B33,요리·별!$A$5:$A$8,0))*(1+요리·별!$B$11),0)</f>
        <v>11</v>
      </c>
      <c r="M33" s="13">
        <f>L33*요리·별!$B$18</f>
        <v>2200</v>
      </c>
      <c r="N33" s="7" t="str">
        <f>IFERROR(INDEX({"일반","고급","희귀","전설"},MAX(IF(D33="",0,MATCH(INDEX(작물!$B$17:$B$71,MATCH(D33,작물!$C$17:$C$71,0)),{"일반","고급","희귀","전설"},0)),IF(F33="",0,MATCH(INDEX(작물!$B$17:$B$71,MATCH(F33,작물!$C$17:$C$71,0)),{"일반","고급","희귀","전설"},0)),IF(H33="",0,MATCH(INDEX(작물!$B$17:$B$71,MATCH(H33,작물!$C$17:$C$71,0)),{"일반","고급","희귀","전설"},0)))),"작물 이름 확인")</f>
        <v>일반</v>
      </c>
      <c r="O33" s="6" t="str">
        <f t="shared" si="1"/>
        <v>OK</v>
      </c>
    </row>
    <row r="34" spans="1:15">
      <c r="A34" s="11">
        <v>30</v>
      </c>
      <c r="B34" s="4" t="s">
        <v>157</v>
      </c>
      <c r="C34" s="4" t="s">
        <v>418</v>
      </c>
      <c r="D34" s="4" t="s">
        <v>192</v>
      </c>
      <c r="E34" s="10">
        <v>2</v>
      </c>
      <c r="F34" s="4" t="s">
        <v>181</v>
      </c>
      <c r="G34" s="10">
        <v>2</v>
      </c>
      <c r="H34" s="4" t="s">
        <v>189</v>
      </c>
      <c r="I34" s="10">
        <v>1</v>
      </c>
      <c r="J34" s="11">
        <f t="shared" si="0"/>
        <v>5</v>
      </c>
      <c r="K34" s="13">
        <f>ROUND(INDEX(요리·별!$B$5:$B$8,MATCH(B34,요리·별!$A$5:$A$8,0))*(1-요리·별!$B$11),0)</f>
        <v>9</v>
      </c>
      <c r="L34" s="13">
        <f>ROUND(INDEX(요리·별!$B$5:$B$8,MATCH(B34,요리·별!$A$5:$A$8,0))*(1+요리·별!$B$11),0)</f>
        <v>11</v>
      </c>
      <c r="M34" s="13">
        <f>L34*요리·별!$B$18</f>
        <v>2200</v>
      </c>
      <c r="N34" s="7" t="str">
        <f>IFERROR(INDEX({"일반","고급","희귀","전설"},MAX(IF(D34="",0,MATCH(INDEX(작물!$B$17:$B$71,MATCH(D34,작물!$C$17:$C$71,0)),{"일반","고급","희귀","전설"},0)),IF(F34="",0,MATCH(INDEX(작물!$B$17:$B$71,MATCH(F34,작물!$C$17:$C$71,0)),{"일반","고급","희귀","전설"},0)),IF(H34="",0,MATCH(INDEX(작물!$B$17:$B$71,MATCH(H34,작물!$C$17:$C$71,0)),{"일반","고급","희귀","전설"},0)))),"작물 이름 확인")</f>
        <v>일반</v>
      </c>
      <c r="O34" s="6" t="str">
        <f t="shared" si="1"/>
        <v>OK</v>
      </c>
    </row>
    <row r="35" spans="1:15">
      <c r="A35" s="11">
        <v>31</v>
      </c>
      <c r="B35" s="4" t="s">
        <v>157</v>
      </c>
      <c r="C35" s="4" t="s">
        <v>419</v>
      </c>
      <c r="D35" s="4" t="s">
        <v>188</v>
      </c>
      <c r="E35" s="10">
        <v>3</v>
      </c>
      <c r="F35" s="4" t="s">
        <v>174</v>
      </c>
      <c r="G35" s="10">
        <v>1</v>
      </c>
      <c r="H35" s="4" t="s">
        <v>178</v>
      </c>
      <c r="I35" s="10">
        <v>1</v>
      </c>
      <c r="J35" s="11">
        <f t="shared" si="0"/>
        <v>5</v>
      </c>
      <c r="K35" s="13">
        <f>ROUND(INDEX(요리·별!$B$5:$B$8,MATCH(B35,요리·별!$A$5:$A$8,0))*(1-요리·별!$B$11),0)</f>
        <v>9</v>
      </c>
      <c r="L35" s="13">
        <f>ROUND(INDEX(요리·별!$B$5:$B$8,MATCH(B35,요리·별!$A$5:$A$8,0))*(1+요리·별!$B$11),0)</f>
        <v>11</v>
      </c>
      <c r="M35" s="13">
        <f>L35*요리·별!$B$18</f>
        <v>2200</v>
      </c>
      <c r="N35" s="7" t="str">
        <f>IFERROR(INDEX({"일반","고급","희귀","전설"},MAX(IF(D35="",0,MATCH(INDEX(작물!$B$17:$B$71,MATCH(D35,작물!$C$17:$C$71,0)),{"일반","고급","희귀","전설"},0)),IF(F35="",0,MATCH(INDEX(작물!$B$17:$B$71,MATCH(F35,작물!$C$17:$C$71,0)),{"일반","고급","희귀","전설"},0)),IF(H35="",0,MATCH(INDEX(작물!$B$17:$B$71,MATCH(H35,작물!$C$17:$C$71,0)),{"일반","고급","희귀","전설"},0)))),"작물 이름 확인")</f>
        <v>일반</v>
      </c>
      <c r="O35" s="6" t="str">
        <f t="shared" si="1"/>
        <v>OK</v>
      </c>
    </row>
    <row r="36" spans="1:15">
      <c r="A36" s="11">
        <v>32</v>
      </c>
      <c r="B36" s="4" t="s">
        <v>157</v>
      </c>
      <c r="C36" s="4" t="s">
        <v>420</v>
      </c>
      <c r="D36" s="4" t="s">
        <v>192</v>
      </c>
      <c r="E36" s="10">
        <v>2</v>
      </c>
      <c r="F36" s="4" t="s">
        <v>188</v>
      </c>
      <c r="G36" s="10">
        <v>2</v>
      </c>
      <c r="H36" s="4" t="s">
        <v>180</v>
      </c>
      <c r="I36" s="10">
        <v>1</v>
      </c>
      <c r="J36" s="11">
        <f t="shared" si="0"/>
        <v>5</v>
      </c>
      <c r="K36" s="13">
        <f>ROUND(INDEX(요리·별!$B$5:$B$8,MATCH(B36,요리·별!$A$5:$A$8,0))*(1-요리·별!$B$11),0)</f>
        <v>9</v>
      </c>
      <c r="L36" s="13">
        <f>ROUND(INDEX(요리·별!$B$5:$B$8,MATCH(B36,요리·별!$A$5:$A$8,0))*(1+요리·별!$B$11),0)</f>
        <v>11</v>
      </c>
      <c r="M36" s="13">
        <f>L36*요리·별!$B$18</f>
        <v>2200</v>
      </c>
      <c r="N36" s="7" t="str">
        <f>IFERROR(INDEX({"일반","고급","희귀","전설"},MAX(IF(D36="",0,MATCH(INDEX(작물!$B$17:$B$71,MATCH(D36,작물!$C$17:$C$71,0)),{"일반","고급","희귀","전설"},0)),IF(F36="",0,MATCH(INDEX(작물!$B$17:$B$71,MATCH(F36,작물!$C$17:$C$71,0)),{"일반","고급","희귀","전설"},0)),IF(H36="",0,MATCH(INDEX(작물!$B$17:$B$71,MATCH(H36,작물!$C$17:$C$71,0)),{"일반","고급","희귀","전설"},0)))),"작물 이름 확인")</f>
        <v>일반</v>
      </c>
      <c r="O36" s="6" t="str">
        <f t="shared" si="1"/>
        <v>OK</v>
      </c>
    </row>
    <row r="37" spans="1:15">
      <c r="A37" s="11">
        <v>33</v>
      </c>
      <c r="B37" s="4" t="s">
        <v>157</v>
      </c>
      <c r="C37" s="4" t="s">
        <v>421</v>
      </c>
      <c r="D37" s="4" t="s">
        <v>192</v>
      </c>
      <c r="E37" s="10">
        <v>2</v>
      </c>
      <c r="F37" s="4" t="s">
        <v>180</v>
      </c>
      <c r="G37" s="10">
        <v>2</v>
      </c>
      <c r="H37" s="4"/>
      <c r="I37" s="10"/>
      <c r="J37" s="11">
        <f t="shared" ref="J37:J68" si="2">SUM(E37,G37,I37)</f>
        <v>4</v>
      </c>
      <c r="K37" s="13">
        <f>ROUND(INDEX(요리·별!$B$5:$B$8,MATCH(B37,요리·별!$A$5:$A$8,0))*(1-요리·별!$B$11),0)</f>
        <v>9</v>
      </c>
      <c r="L37" s="13">
        <f>ROUND(INDEX(요리·별!$B$5:$B$8,MATCH(B37,요리·별!$A$5:$A$8,0))*(1+요리·별!$B$11),0)</f>
        <v>11</v>
      </c>
      <c r="M37" s="13">
        <f>L37*요리·별!$B$18</f>
        <v>2200</v>
      </c>
      <c r="N37" s="7" t="str">
        <f>IFERROR(INDEX({"일반","고급","희귀","전설"},MAX(IF(D37="",0,MATCH(INDEX(작물!$B$17:$B$71,MATCH(D37,작물!$C$17:$C$71,0)),{"일반","고급","희귀","전설"},0)),IF(F37="",0,MATCH(INDEX(작물!$B$17:$B$71,MATCH(F37,작물!$C$17:$C$71,0)),{"일반","고급","희귀","전설"},0)),IF(H37="",0,MATCH(INDEX(작물!$B$17:$B$71,MATCH(H37,작물!$C$17:$C$71,0)),{"일반","고급","희귀","전설"},0)))),"작물 이름 확인")</f>
        <v>일반</v>
      </c>
      <c r="O37" s="6" t="str">
        <f t="shared" ref="O37:O68" si="3">IF(N37="작물 이름 확인",N37,IF(MAX(E37,G37,I37)&gt;3,"같은 재료 3개 넘음",IF(N37=B37,"OK","등급 다름")))</f>
        <v>OK</v>
      </c>
    </row>
    <row r="38" spans="1:15">
      <c r="A38" s="11">
        <v>34</v>
      </c>
      <c r="B38" s="4" t="s">
        <v>157</v>
      </c>
      <c r="C38" s="4" t="s">
        <v>422</v>
      </c>
      <c r="D38" s="4" t="s">
        <v>190</v>
      </c>
      <c r="E38" s="10">
        <v>2</v>
      </c>
      <c r="F38" s="4" t="s">
        <v>178</v>
      </c>
      <c r="G38" s="10">
        <v>1</v>
      </c>
      <c r="H38" s="4" t="s">
        <v>192</v>
      </c>
      <c r="I38" s="10">
        <v>1</v>
      </c>
      <c r="J38" s="11">
        <f t="shared" si="2"/>
        <v>4</v>
      </c>
      <c r="K38" s="13">
        <f>ROUND(INDEX(요리·별!$B$5:$B$8,MATCH(B38,요리·별!$A$5:$A$8,0))*(1-요리·별!$B$11),0)</f>
        <v>9</v>
      </c>
      <c r="L38" s="13">
        <f>ROUND(INDEX(요리·별!$B$5:$B$8,MATCH(B38,요리·별!$A$5:$A$8,0))*(1+요리·별!$B$11),0)</f>
        <v>11</v>
      </c>
      <c r="M38" s="13">
        <f>L38*요리·별!$B$18</f>
        <v>2200</v>
      </c>
      <c r="N38" s="7" t="str">
        <f>IFERROR(INDEX({"일반","고급","희귀","전설"},MAX(IF(D38="",0,MATCH(INDEX(작물!$B$17:$B$71,MATCH(D38,작물!$C$17:$C$71,0)),{"일반","고급","희귀","전설"},0)),IF(F38="",0,MATCH(INDEX(작물!$B$17:$B$71,MATCH(F38,작물!$C$17:$C$71,0)),{"일반","고급","희귀","전설"},0)),IF(H38="",0,MATCH(INDEX(작물!$B$17:$B$71,MATCH(H38,작물!$C$17:$C$71,0)),{"일반","고급","희귀","전설"},0)))),"작물 이름 확인")</f>
        <v>일반</v>
      </c>
      <c r="O38" s="6" t="str">
        <f t="shared" si="3"/>
        <v>OK</v>
      </c>
    </row>
    <row r="39" spans="1:15">
      <c r="A39" s="11">
        <v>35</v>
      </c>
      <c r="B39" s="4" t="s">
        <v>157</v>
      </c>
      <c r="C39" s="4" t="s">
        <v>423</v>
      </c>
      <c r="D39" s="4" t="s">
        <v>191</v>
      </c>
      <c r="E39" s="10">
        <v>2</v>
      </c>
      <c r="F39" s="4" t="s">
        <v>184</v>
      </c>
      <c r="G39" s="10">
        <v>1</v>
      </c>
      <c r="H39" s="4" t="s">
        <v>176</v>
      </c>
      <c r="I39" s="10">
        <v>1</v>
      </c>
      <c r="J39" s="11">
        <f t="shared" si="2"/>
        <v>4</v>
      </c>
      <c r="K39" s="13">
        <f>ROUND(INDEX(요리·별!$B$5:$B$8,MATCH(B39,요리·별!$A$5:$A$8,0))*(1-요리·별!$B$11),0)</f>
        <v>9</v>
      </c>
      <c r="L39" s="13">
        <f>ROUND(INDEX(요리·별!$B$5:$B$8,MATCH(B39,요리·별!$A$5:$A$8,0))*(1+요리·별!$B$11),0)</f>
        <v>11</v>
      </c>
      <c r="M39" s="13">
        <f>L39*요리·별!$B$18</f>
        <v>2200</v>
      </c>
      <c r="N39" s="7" t="str">
        <f>IFERROR(INDEX({"일반","고급","희귀","전설"},MAX(IF(D39="",0,MATCH(INDEX(작물!$B$17:$B$71,MATCH(D39,작물!$C$17:$C$71,0)),{"일반","고급","희귀","전설"},0)),IF(F39="",0,MATCH(INDEX(작물!$B$17:$B$71,MATCH(F39,작물!$C$17:$C$71,0)),{"일반","고급","희귀","전설"},0)),IF(H39="",0,MATCH(INDEX(작물!$B$17:$B$71,MATCH(H39,작물!$C$17:$C$71,0)),{"일반","고급","희귀","전설"},0)))),"작물 이름 확인")</f>
        <v>일반</v>
      </c>
      <c r="O39" s="6" t="str">
        <f t="shared" si="3"/>
        <v>OK</v>
      </c>
    </row>
    <row r="40" spans="1:15">
      <c r="A40" s="11">
        <v>36</v>
      </c>
      <c r="B40" s="4" t="s">
        <v>157</v>
      </c>
      <c r="C40" s="4" t="s">
        <v>424</v>
      </c>
      <c r="D40" s="4" t="s">
        <v>191</v>
      </c>
      <c r="E40" s="10">
        <v>2</v>
      </c>
      <c r="F40" s="4" t="s">
        <v>176</v>
      </c>
      <c r="G40" s="10">
        <v>1</v>
      </c>
      <c r="H40" s="4" t="s">
        <v>178</v>
      </c>
      <c r="I40" s="10">
        <v>1</v>
      </c>
      <c r="J40" s="11">
        <f t="shared" si="2"/>
        <v>4</v>
      </c>
      <c r="K40" s="13">
        <f>ROUND(INDEX(요리·별!$B$5:$B$8,MATCH(B40,요리·별!$A$5:$A$8,0))*(1-요리·별!$B$11),0)</f>
        <v>9</v>
      </c>
      <c r="L40" s="13">
        <f>ROUND(INDEX(요리·별!$B$5:$B$8,MATCH(B40,요리·별!$A$5:$A$8,0))*(1+요리·별!$B$11),0)</f>
        <v>11</v>
      </c>
      <c r="M40" s="13">
        <f>L40*요리·별!$B$18</f>
        <v>2200</v>
      </c>
      <c r="N40" s="7" t="str">
        <f>IFERROR(INDEX({"일반","고급","희귀","전설"},MAX(IF(D40="",0,MATCH(INDEX(작물!$B$17:$B$71,MATCH(D40,작물!$C$17:$C$71,0)),{"일반","고급","희귀","전설"},0)),IF(F40="",0,MATCH(INDEX(작물!$B$17:$B$71,MATCH(F40,작물!$C$17:$C$71,0)),{"일반","고급","희귀","전설"},0)),IF(H40="",0,MATCH(INDEX(작물!$B$17:$B$71,MATCH(H40,작물!$C$17:$C$71,0)),{"일반","고급","희귀","전설"},0)))),"작물 이름 확인")</f>
        <v>일반</v>
      </c>
      <c r="O40" s="6" t="str">
        <f t="shared" si="3"/>
        <v>OK</v>
      </c>
    </row>
    <row r="41" spans="1:15">
      <c r="A41" s="11">
        <v>37</v>
      </c>
      <c r="B41" s="4" t="s">
        <v>157</v>
      </c>
      <c r="C41" s="4" t="s">
        <v>425</v>
      </c>
      <c r="D41" s="4" t="s">
        <v>191</v>
      </c>
      <c r="E41" s="10">
        <v>3</v>
      </c>
      <c r="F41" s="4" t="s">
        <v>193</v>
      </c>
      <c r="G41" s="10">
        <v>2</v>
      </c>
      <c r="H41" s="4"/>
      <c r="I41" s="10"/>
      <c r="J41" s="11">
        <f t="shared" si="2"/>
        <v>5</v>
      </c>
      <c r="K41" s="13">
        <f>ROUND(INDEX(요리·별!$B$5:$B$8,MATCH(B41,요리·별!$A$5:$A$8,0))*(1-요리·별!$B$11),0)</f>
        <v>9</v>
      </c>
      <c r="L41" s="13">
        <f>ROUND(INDEX(요리·별!$B$5:$B$8,MATCH(B41,요리·별!$A$5:$A$8,0))*(1+요리·별!$B$11),0)</f>
        <v>11</v>
      </c>
      <c r="M41" s="13">
        <f>L41*요리·별!$B$18</f>
        <v>2200</v>
      </c>
      <c r="N41" s="7" t="str">
        <f>IFERROR(INDEX({"일반","고급","희귀","전설"},MAX(IF(D41="",0,MATCH(INDEX(작물!$B$17:$B$71,MATCH(D41,작물!$C$17:$C$71,0)),{"일반","고급","희귀","전설"},0)),IF(F41="",0,MATCH(INDEX(작물!$B$17:$B$71,MATCH(F41,작물!$C$17:$C$71,0)),{"일반","고급","희귀","전설"},0)),IF(H41="",0,MATCH(INDEX(작물!$B$17:$B$71,MATCH(H41,작물!$C$17:$C$71,0)),{"일반","고급","희귀","전설"},0)))),"작물 이름 확인")</f>
        <v>일반</v>
      </c>
      <c r="O41" s="6" t="str">
        <f t="shared" si="3"/>
        <v>OK</v>
      </c>
    </row>
    <row r="42" spans="1:15">
      <c r="A42" s="11">
        <v>38</v>
      </c>
      <c r="B42" s="4" t="s">
        <v>157</v>
      </c>
      <c r="C42" s="4" t="s">
        <v>426</v>
      </c>
      <c r="D42" s="4" t="s">
        <v>191</v>
      </c>
      <c r="E42" s="10">
        <v>2</v>
      </c>
      <c r="F42" s="4" t="s">
        <v>189</v>
      </c>
      <c r="G42" s="10">
        <v>2</v>
      </c>
      <c r="H42" s="4" t="s">
        <v>179</v>
      </c>
      <c r="I42" s="10">
        <v>1</v>
      </c>
      <c r="J42" s="11">
        <f t="shared" si="2"/>
        <v>5</v>
      </c>
      <c r="K42" s="13">
        <f>ROUND(INDEX(요리·별!$B$5:$B$8,MATCH(B42,요리·별!$A$5:$A$8,0))*(1-요리·별!$B$11),0)</f>
        <v>9</v>
      </c>
      <c r="L42" s="13">
        <f>ROUND(INDEX(요리·별!$B$5:$B$8,MATCH(B42,요리·별!$A$5:$A$8,0))*(1+요리·별!$B$11),0)</f>
        <v>11</v>
      </c>
      <c r="M42" s="13">
        <f>L42*요리·별!$B$18</f>
        <v>2200</v>
      </c>
      <c r="N42" s="7" t="str">
        <f>IFERROR(INDEX({"일반","고급","희귀","전설"},MAX(IF(D42="",0,MATCH(INDEX(작물!$B$17:$B$71,MATCH(D42,작물!$C$17:$C$71,0)),{"일반","고급","희귀","전설"},0)),IF(F42="",0,MATCH(INDEX(작물!$B$17:$B$71,MATCH(F42,작물!$C$17:$C$71,0)),{"일반","고급","희귀","전설"},0)),IF(H42="",0,MATCH(INDEX(작물!$B$17:$B$71,MATCH(H42,작물!$C$17:$C$71,0)),{"일반","고급","희귀","전설"},0)))),"작물 이름 확인")</f>
        <v>일반</v>
      </c>
      <c r="O42" s="6" t="str">
        <f t="shared" si="3"/>
        <v>OK</v>
      </c>
    </row>
    <row r="43" spans="1:15">
      <c r="A43" s="11">
        <v>39</v>
      </c>
      <c r="B43" s="4" t="s">
        <v>157</v>
      </c>
      <c r="C43" s="4" t="s">
        <v>427</v>
      </c>
      <c r="D43" s="4" t="s">
        <v>181</v>
      </c>
      <c r="E43" s="10">
        <v>2</v>
      </c>
      <c r="F43" s="4" t="s">
        <v>193</v>
      </c>
      <c r="G43" s="10">
        <v>1</v>
      </c>
      <c r="H43" s="4" t="s">
        <v>179</v>
      </c>
      <c r="I43" s="10">
        <v>1</v>
      </c>
      <c r="J43" s="11">
        <f t="shared" si="2"/>
        <v>4</v>
      </c>
      <c r="K43" s="13">
        <f>ROUND(INDEX(요리·별!$B$5:$B$8,MATCH(B43,요리·별!$A$5:$A$8,0))*(1-요리·별!$B$11),0)</f>
        <v>9</v>
      </c>
      <c r="L43" s="13">
        <f>ROUND(INDEX(요리·별!$B$5:$B$8,MATCH(B43,요리·별!$A$5:$A$8,0))*(1+요리·별!$B$11),0)</f>
        <v>11</v>
      </c>
      <c r="M43" s="13">
        <f>L43*요리·별!$B$18</f>
        <v>2200</v>
      </c>
      <c r="N43" s="7" t="str">
        <f>IFERROR(INDEX({"일반","고급","희귀","전설"},MAX(IF(D43="",0,MATCH(INDEX(작물!$B$17:$B$71,MATCH(D43,작물!$C$17:$C$71,0)),{"일반","고급","희귀","전설"},0)),IF(F43="",0,MATCH(INDEX(작물!$B$17:$B$71,MATCH(F43,작물!$C$17:$C$71,0)),{"일반","고급","희귀","전설"},0)),IF(H43="",0,MATCH(INDEX(작물!$B$17:$B$71,MATCH(H43,작물!$C$17:$C$71,0)),{"일반","고급","희귀","전설"},0)))),"작물 이름 확인")</f>
        <v>일반</v>
      </c>
      <c r="O43" s="6" t="str">
        <f t="shared" si="3"/>
        <v>OK</v>
      </c>
    </row>
    <row r="44" spans="1:15">
      <c r="A44" s="11">
        <v>40</v>
      </c>
      <c r="B44" s="4" t="s">
        <v>157</v>
      </c>
      <c r="C44" s="4" t="s">
        <v>428</v>
      </c>
      <c r="D44" s="4" t="s">
        <v>176</v>
      </c>
      <c r="E44" s="10">
        <v>2</v>
      </c>
      <c r="F44" s="4" t="s">
        <v>192</v>
      </c>
      <c r="G44" s="10">
        <v>2</v>
      </c>
      <c r="H44" s="4"/>
      <c r="I44" s="10"/>
      <c r="J44" s="11">
        <f t="shared" si="2"/>
        <v>4</v>
      </c>
      <c r="K44" s="13">
        <f>ROUND(INDEX(요리·별!$B$5:$B$8,MATCH(B44,요리·별!$A$5:$A$8,0))*(1-요리·별!$B$11),0)</f>
        <v>9</v>
      </c>
      <c r="L44" s="13">
        <f>ROUND(INDEX(요리·별!$B$5:$B$8,MATCH(B44,요리·별!$A$5:$A$8,0))*(1+요리·별!$B$11),0)</f>
        <v>11</v>
      </c>
      <c r="M44" s="13">
        <f>L44*요리·별!$B$18</f>
        <v>2200</v>
      </c>
      <c r="N44" s="7" t="str">
        <f>IFERROR(INDEX({"일반","고급","희귀","전설"},MAX(IF(D44="",0,MATCH(INDEX(작물!$B$17:$B$71,MATCH(D44,작물!$C$17:$C$71,0)),{"일반","고급","희귀","전설"},0)),IF(F44="",0,MATCH(INDEX(작물!$B$17:$B$71,MATCH(F44,작물!$C$17:$C$71,0)),{"일반","고급","희귀","전설"},0)),IF(H44="",0,MATCH(INDEX(작물!$B$17:$B$71,MATCH(H44,작물!$C$17:$C$71,0)),{"일반","고급","희귀","전설"},0)))),"작물 이름 확인")</f>
        <v>일반</v>
      </c>
      <c r="O44" s="6" t="str">
        <f t="shared" si="3"/>
        <v>OK</v>
      </c>
    </row>
    <row r="45" spans="1:15">
      <c r="A45" s="11">
        <v>41</v>
      </c>
      <c r="B45" s="4" t="s">
        <v>158</v>
      </c>
      <c r="C45" s="4" t="s">
        <v>429</v>
      </c>
      <c r="D45" s="4" t="s">
        <v>194</v>
      </c>
      <c r="E45" s="10">
        <v>3</v>
      </c>
      <c r="F45" s="4"/>
      <c r="G45" s="10"/>
      <c r="H45" s="4"/>
      <c r="I45" s="10"/>
      <c r="J45" s="11">
        <f t="shared" si="2"/>
        <v>3</v>
      </c>
      <c r="K45" s="13">
        <f>ROUND(INDEX(요리·별!$B$5:$B$8,MATCH(B45,요리·별!$A$5:$A$8,0))*(1-요리·별!$B$11),0)</f>
        <v>27</v>
      </c>
      <c r="L45" s="13">
        <f>ROUND(INDEX(요리·별!$B$5:$B$8,MATCH(B45,요리·별!$A$5:$A$8,0))*(1+요리·별!$B$11),0)</f>
        <v>33</v>
      </c>
      <c r="M45" s="13">
        <f>L45*요리·별!$B$18</f>
        <v>6600</v>
      </c>
      <c r="N45" s="7" t="str">
        <f>IFERROR(INDEX({"일반","고급","희귀","전설"},MAX(IF(D45="",0,MATCH(INDEX(작물!$B$17:$B$71,MATCH(D45,작물!$C$17:$C$71,0)),{"일반","고급","희귀","전설"},0)),IF(F45="",0,MATCH(INDEX(작물!$B$17:$B$71,MATCH(F45,작물!$C$17:$C$71,0)),{"일반","고급","희귀","전설"},0)),IF(H45="",0,MATCH(INDEX(작물!$B$17:$B$71,MATCH(H45,작물!$C$17:$C$71,0)),{"일반","고급","희귀","전설"},0)))),"작물 이름 확인")</f>
        <v>고급</v>
      </c>
      <c r="O45" s="6" t="str">
        <f t="shared" si="3"/>
        <v>OK</v>
      </c>
    </row>
    <row r="46" spans="1:15">
      <c r="A46" s="11">
        <v>42</v>
      </c>
      <c r="B46" s="4" t="s">
        <v>158</v>
      </c>
      <c r="C46" s="4" t="s">
        <v>430</v>
      </c>
      <c r="D46" s="4" t="s">
        <v>194</v>
      </c>
      <c r="E46" s="10">
        <v>2</v>
      </c>
      <c r="F46" s="4" t="s">
        <v>192</v>
      </c>
      <c r="G46" s="10">
        <v>2</v>
      </c>
      <c r="H46" s="4"/>
      <c r="I46" s="10"/>
      <c r="J46" s="11">
        <f t="shared" si="2"/>
        <v>4</v>
      </c>
      <c r="K46" s="13">
        <f>ROUND(INDEX(요리·별!$B$5:$B$8,MATCH(B46,요리·별!$A$5:$A$8,0))*(1-요리·별!$B$11),0)</f>
        <v>27</v>
      </c>
      <c r="L46" s="13">
        <f>ROUND(INDEX(요리·별!$B$5:$B$8,MATCH(B46,요리·별!$A$5:$A$8,0))*(1+요리·별!$B$11),0)</f>
        <v>33</v>
      </c>
      <c r="M46" s="13">
        <f>L46*요리·별!$B$18</f>
        <v>6600</v>
      </c>
      <c r="N46" s="7" t="str">
        <f>IFERROR(INDEX({"일반","고급","희귀","전설"},MAX(IF(D46="",0,MATCH(INDEX(작물!$B$17:$B$71,MATCH(D46,작물!$C$17:$C$71,0)),{"일반","고급","희귀","전설"},0)),IF(F46="",0,MATCH(INDEX(작물!$B$17:$B$71,MATCH(F46,작물!$C$17:$C$71,0)),{"일반","고급","희귀","전설"},0)),IF(H46="",0,MATCH(INDEX(작물!$B$17:$B$71,MATCH(H46,작물!$C$17:$C$71,0)),{"일반","고급","희귀","전설"},0)))),"작물 이름 확인")</f>
        <v>고급</v>
      </c>
      <c r="O46" s="6" t="str">
        <f t="shared" si="3"/>
        <v>OK</v>
      </c>
    </row>
    <row r="47" spans="1:15">
      <c r="A47" s="11">
        <v>43</v>
      </c>
      <c r="B47" s="4" t="s">
        <v>158</v>
      </c>
      <c r="C47" s="4" t="s">
        <v>431</v>
      </c>
      <c r="D47" s="4" t="s">
        <v>195</v>
      </c>
      <c r="E47" s="10">
        <v>3</v>
      </c>
      <c r="F47" s="4"/>
      <c r="G47" s="10"/>
      <c r="H47" s="4"/>
      <c r="I47" s="10"/>
      <c r="J47" s="11">
        <f t="shared" si="2"/>
        <v>3</v>
      </c>
      <c r="K47" s="13">
        <f>ROUND(INDEX(요리·별!$B$5:$B$8,MATCH(B47,요리·별!$A$5:$A$8,0))*(1-요리·별!$B$11),0)</f>
        <v>27</v>
      </c>
      <c r="L47" s="13">
        <f>ROUND(INDEX(요리·별!$B$5:$B$8,MATCH(B47,요리·별!$A$5:$A$8,0))*(1+요리·별!$B$11),0)</f>
        <v>33</v>
      </c>
      <c r="M47" s="13">
        <f>L47*요리·별!$B$18</f>
        <v>6600</v>
      </c>
      <c r="N47" s="7" t="str">
        <f>IFERROR(INDEX({"일반","고급","희귀","전설"},MAX(IF(D47="",0,MATCH(INDEX(작물!$B$17:$B$71,MATCH(D47,작물!$C$17:$C$71,0)),{"일반","고급","희귀","전설"},0)),IF(F47="",0,MATCH(INDEX(작물!$B$17:$B$71,MATCH(F47,작물!$C$17:$C$71,0)),{"일반","고급","희귀","전설"},0)),IF(H47="",0,MATCH(INDEX(작물!$B$17:$B$71,MATCH(H47,작물!$C$17:$C$71,0)),{"일반","고급","희귀","전설"},0)))),"작물 이름 확인")</f>
        <v>고급</v>
      </c>
      <c r="O47" s="6" t="str">
        <f t="shared" si="3"/>
        <v>OK</v>
      </c>
    </row>
    <row r="48" spans="1:15">
      <c r="A48" s="11">
        <v>44</v>
      </c>
      <c r="B48" s="4" t="s">
        <v>158</v>
      </c>
      <c r="C48" s="4" t="s">
        <v>432</v>
      </c>
      <c r="D48" s="4" t="s">
        <v>195</v>
      </c>
      <c r="E48" s="10">
        <v>2</v>
      </c>
      <c r="F48" s="4" t="s">
        <v>197</v>
      </c>
      <c r="G48" s="10">
        <v>1</v>
      </c>
      <c r="H48" s="4" t="s">
        <v>194</v>
      </c>
      <c r="I48" s="10">
        <v>1</v>
      </c>
      <c r="J48" s="11">
        <f t="shared" si="2"/>
        <v>4</v>
      </c>
      <c r="K48" s="13">
        <f>ROUND(INDEX(요리·별!$B$5:$B$8,MATCH(B48,요리·별!$A$5:$A$8,0))*(1-요리·별!$B$11),0)</f>
        <v>27</v>
      </c>
      <c r="L48" s="13">
        <f>ROUND(INDEX(요리·별!$B$5:$B$8,MATCH(B48,요리·별!$A$5:$A$8,0))*(1+요리·별!$B$11),0)</f>
        <v>33</v>
      </c>
      <c r="M48" s="13">
        <f>L48*요리·별!$B$18</f>
        <v>6600</v>
      </c>
      <c r="N48" s="7" t="str">
        <f>IFERROR(INDEX({"일반","고급","희귀","전설"},MAX(IF(D48="",0,MATCH(INDEX(작물!$B$17:$B$71,MATCH(D48,작물!$C$17:$C$71,0)),{"일반","고급","희귀","전설"},0)),IF(F48="",0,MATCH(INDEX(작물!$B$17:$B$71,MATCH(F48,작물!$C$17:$C$71,0)),{"일반","고급","희귀","전설"},0)),IF(H48="",0,MATCH(INDEX(작물!$B$17:$B$71,MATCH(H48,작물!$C$17:$C$71,0)),{"일반","고급","희귀","전설"},0)))),"작물 이름 확인")</f>
        <v>고급</v>
      </c>
      <c r="O48" s="6" t="str">
        <f t="shared" si="3"/>
        <v>OK</v>
      </c>
    </row>
    <row r="49" spans="1:15">
      <c r="A49" s="11">
        <v>45</v>
      </c>
      <c r="B49" s="4" t="s">
        <v>158</v>
      </c>
      <c r="C49" s="4" t="s">
        <v>433</v>
      </c>
      <c r="D49" s="4" t="s">
        <v>196</v>
      </c>
      <c r="E49" s="10">
        <v>2</v>
      </c>
      <c r="F49" s="4" t="s">
        <v>193</v>
      </c>
      <c r="G49" s="10">
        <v>1</v>
      </c>
      <c r="H49" s="4"/>
      <c r="I49" s="10"/>
      <c r="J49" s="11">
        <f t="shared" si="2"/>
        <v>3</v>
      </c>
      <c r="K49" s="13">
        <f>ROUND(INDEX(요리·별!$B$5:$B$8,MATCH(B49,요리·별!$A$5:$A$8,0))*(1-요리·별!$B$11),0)</f>
        <v>27</v>
      </c>
      <c r="L49" s="13">
        <f>ROUND(INDEX(요리·별!$B$5:$B$8,MATCH(B49,요리·별!$A$5:$A$8,0))*(1+요리·별!$B$11),0)</f>
        <v>33</v>
      </c>
      <c r="M49" s="13">
        <f>L49*요리·별!$B$18</f>
        <v>6600</v>
      </c>
      <c r="N49" s="7" t="str">
        <f>IFERROR(INDEX({"일반","고급","희귀","전설"},MAX(IF(D49="",0,MATCH(INDEX(작물!$B$17:$B$71,MATCH(D49,작물!$C$17:$C$71,0)),{"일반","고급","희귀","전설"},0)),IF(F49="",0,MATCH(INDEX(작물!$B$17:$B$71,MATCH(F49,작물!$C$17:$C$71,0)),{"일반","고급","희귀","전설"},0)),IF(H49="",0,MATCH(INDEX(작물!$B$17:$B$71,MATCH(H49,작물!$C$17:$C$71,0)),{"일반","고급","희귀","전설"},0)))),"작물 이름 확인")</f>
        <v>고급</v>
      </c>
      <c r="O49" s="6" t="str">
        <f t="shared" si="3"/>
        <v>OK</v>
      </c>
    </row>
    <row r="50" spans="1:15">
      <c r="A50" s="11">
        <v>46</v>
      </c>
      <c r="B50" s="4" t="s">
        <v>158</v>
      </c>
      <c r="C50" s="4" t="s">
        <v>434</v>
      </c>
      <c r="D50" s="4" t="s">
        <v>197</v>
      </c>
      <c r="E50" s="10">
        <v>2</v>
      </c>
      <c r="F50" s="4" t="s">
        <v>185</v>
      </c>
      <c r="G50" s="10">
        <v>1</v>
      </c>
      <c r="H50" s="4"/>
      <c r="I50" s="10"/>
      <c r="J50" s="11">
        <f t="shared" si="2"/>
        <v>3</v>
      </c>
      <c r="K50" s="13">
        <f>ROUND(INDEX(요리·별!$B$5:$B$8,MATCH(B50,요리·별!$A$5:$A$8,0))*(1-요리·별!$B$11),0)</f>
        <v>27</v>
      </c>
      <c r="L50" s="13">
        <f>ROUND(INDEX(요리·별!$B$5:$B$8,MATCH(B50,요리·별!$A$5:$A$8,0))*(1+요리·별!$B$11),0)</f>
        <v>33</v>
      </c>
      <c r="M50" s="13">
        <f>L50*요리·별!$B$18</f>
        <v>6600</v>
      </c>
      <c r="N50" s="7" t="str">
        <f>IFERROR(INDEX({"일반","고급","희귀","전설"},MAX(IF(D50="",0,MATCH(INDEX(작물!$B$17:$B$71,MATCH(D50,작물!$C$17:$C$71,0)),{"일반","고급","희귀","전설"},0)),IF(F50="",0,MATCH(INDEX(작물!$B$17:$B$71,MATCH(F50,작물!$C$17:$C$71,0)),{"일반","고급","희귀","전설"},0)),IF(H50="",0,MATCH(INDEX(작물!$B$17:$B$71,MATCH(H50,작물!$C$17:$C$71,0)),{"일반","고급","희귀","전설"},0)))),"작물 이름 확인")</f>
        <v>고급</v>
      </c>
      <c r="O50" s="6" t="str">
        <f t="shared" si="3"/>
        <v>OK</v>
      </c>
    </row>
    <row r="51" spans="1:15">
      <c r="A51" s="11">
        <v>47</v>
      </c>
      <c r="B51" s="4" t="s">
        <v>158</v>
      </c>
      <c r="C51" s="4" t="s">
        <v>435</v>
      </c>
      <c r="D51" s="4" t="s">
        <v>198</v>
      </c>
      <c r="E51" s="10">
        <v>3</v>
      </c>
      <c r="F51" s="4"/>
      <c r="G51" s="10"/>
      <c r="H51" s="4"/>
      <c r="I51" s="10"/>
      <c r="J51" s="11">
        <f t="shared" si="2"/>
        <v>3</v>
      </c>
      <c r="K51" s="13">
        <f>ROUND(INDEX(요리·별!$B$5:$B$8,MATCH(B51,요리·별!$A$5:$A$8,0))*(1-요리·별!$B$11),0)</f>
        <v>27</v>
      </c>
      <c r="L51" s="13">
        <f>ROUND(INDEX(요리·별!$B$5:$B$8,MATCH(B51,요리·별!$A$5:$A$8,0))*(1+요리·별!$B$11),0)</f>
        <v>33</v>
      </c>
      <c r="M51" s="13">
        <f>L51*요리·별!$B$18</f>
        <v>6600</v>
      </c>
      <c r="N51" s="7" t="str">
        <f>IFERROR(INDEX({"일반","고급","희귀","전설"},MAX(IF(D51="",0,MATCH(INDEX(작물!$B$17:$B$71,MATCH(D51,작물!$C$17:$C$71,0)),{"일반","고급","희귀","전설"},0)),IF(F51="",0,MATCH(INDEX(작물!$B$17:$B$71,MATCH(F51,작물!$C$17:$C$71,0)),{"일반","고급","희귀","전설"},0)),IF(H51="",0,MATCH(INDEX(작물!$B$17:$B$71,MATCH(H51,작물!$C$17:$C$71,0)),{"일반","고급","희귀","전설"},0)))),"작물 이름 확인")</f>
        <v>고급</v>
      </c>
      <c r="O51" s="6" t="str">
        <f t="shared" si="3"/>
        <v>OK</v>
      </c>
    </row>
    <row r="52" spans="1:15">
      <c r="A52" s="11">
        <v>48</v>
      </c>
      <c r="B52" s="4" t="s">
        <v>158</v>
      </c>
      <c r="C52" s="4" t="s">
        <v>436</v>
      </c>
      <c r="D52" s="4" t="s">
        <v>198</v>
      </c>
      <c r="E52" s="10">
        <v>2</v>
      </c>
      <c r="F52" s="4" t="s">
        <v>192</v>
      </c>
      <c r="G52" s="10">
        <v>2</v>
      </c>
      <c r="H52" s="4"/>
      <c r="I52" s="10"/>
      <c r="J52" s="11">
        <f t="shared" si="2"/>
        <v>4</v>
      </c>
      <c r="K52" s="13">
        <f>ROUND(INDEX(요리·별!$B$5:$B$8,MATCH(B52,요리·별!$A$5:$A$8,0))*(1-요리·별!$B$11),0)</f>
        <v>27</v>
      </c>
      <c r="L52" s="13">
        <f>ROUND(INDEX(요리·별!$B$5:$B$8,MATCH(B52,요리·별!$A$5:$A$8,0))*(1+요리·별!$B$11),0)</f>
        <v>33</v>
      </c>
      <c r="M52" s="13">
        <f>L52*요리·별!$B$18</f>
        <v>6600</v>
      </c>
      <c r="N52" s="7" t="str">
        <f>IFERROR(INDEX({"일반","고급","희귀","전설"},MAX(IF(D52="",0,MATCH(INDEX(작물!$B$17:$B$71,MATCH(D52,작물!$C$17:$C$71,0)),{"일반","고급","희귀","전설"},0)),IF(F52="",0,MATCH(INDEX(작물!$B$17:$B$71,MATCH(F52,작물!$C$17:$C$71,0)),{"일반","고급","희귀","전설"},0)),IF(H52="",0,MATCH(INDEX(작물!$B$17:$B$71,MATCH(H52,작물!$C$17:$C$71,0)),{"일반","고급","희귀","전설"},0)))),"작물 이름 확인")</f>
        <v>고급</v>
      </c>
      <c r="O52" s="6" t="str">
        <f t="shared" si="3"/>
        <v>OK</v>
      </c>
    </row>
    <row r="53" spans="1:15">
      <c r="A53" s="11">
        <v>49</v>
      </c>
      <c r="B53" s="4" t="s">
        <v>158</v>
      </c>
      <c r="C53" s="4" t="s">
        <v>437</v>
      </c>
      <c r="D53" s="4" t="s">
        <v>199</v>
      </c>
      <c r="E53" s="10">
        <v>2</v>
      </c>
      <c r="F53" s="4" t="s">
        <v>192</v>
      </c>
      <c r="G53" s="10">
        <v>2</v>
      </c>
      <c r="H53" s="4"/>
      <c r="I53" s="10"/>
      <c r="J53" s="11">
        <f t="shared" si="2"/>
        <v>4</v>
      </c>
      <c r="K53" s="13">
        <f>ROUND(INDEX(요리·별!$B$5:$B$8,MATCH(B53,요리·별!$A$5:$A$8,0))*(1-요리·별!$B$11),0)</f>
        <v>27</v>
      </c>
      <c r="L53" s="13">
        <f>ROUND(INDEX(요리·별!$B$5:$B$8,MATCH(B53,요리·별!$A$5:$A$8,0))*(1+요리·별!$B$11),0)</f>
        <v>33</v>
      </c>
      <c r="M53" s="13">
        <f>L53*요리·별!$B$18</f>
        <v>6600</v>
      </c>
      <c r="N53" s="7" t="str">
        <f>IFERROR(INDEX({"일반","고급","희귀","전설"},MAX(IF(D53="",0,MATCH(INDEX(작물!$B$17:$B$71,MATCH(D53,작물!$C$17:$C$71,0)),{"일반","고급","희귀","전설"},0)),IF(F53="",0,MATCH(INDEX(작물!$B$17:$B$71,MATCH(F53,작물!$C$17:$C$71,0)),{"일반","고급","희귀","전설"},0)),IF(H53="",0,MATCH(INDEX(작물!$B$17:$B$71,MATCH(H53,작물!$C$17:$C$71,0)),{"일반","고급","희귀","전설"},0)))),"작물 이름 확인")</f>
        <v>고급</v>
      </c>
      <c r="O53" s="6" t="str">
        <f t="shared" si="3"/>
        <v>OK</v>
      </c>
    </row>
    <row r="54" spans="1:15">
      <c r="A54" s="11">
        <v>50</v>
      </c>
      <c r="B54" s="4" t="s">
        <v>158</v>
      </c>
      <c r="C54" s="4" t="s">
        <v>438</v>
      </c>
      <c r="D54" s="4" t="s">
        <v>200</v>
      </c>
      <c r="E54" s="10">
        <v>3</v>
      </c>
      <c r="F54" s="4" t="s">
        <v>192</v>
      </c>
      <c r="G54" s="10">
        <v>2</v>
      </c>
      <c r="H54" s="4"/>
      <c r="I54" s="10"/>
      <c r="J54" s="11">
        <f t="shared" si="2"/>
        <v>5</v>
      </c>
      <c r="K54" s="13">
        <f>ROUND(INDEX(요리·별!$B$5:$B$8,MATCH(B54,요리·별!$A$5:$A$8,0))*(1-요리·별!$B$11),0)</f>
        <v>27</v>
      </c>
      <c r="L54" s="13">
        <f>ROUND(INDEX(요리·별!$B$5:$B$8,MATCH(B54,요리·별!$A$5:$A$8,0))*(1+요리·별!$B$11),0)</f>
        <v>33</v>
      </c>
      <c r="M54" s="13">
        <f>L54*요리·별!$B$18</f>
        <v>6600</v>
      </c>
      <c r="N54" s="7" t="str">
        <f>IFERROR(INDEX({"일반","고급","희귀","전설"},MAX(IF(D54="",0,MATCH(INDEX(작물!$B$17:$B$71,MATCH(D54,작물!$C$17:$C$71,0)),{"일반","고급","희귀","전설"},0)),IF(F54="",0,MATCH(INDEX(작물!$B$17:$B$71,MATCH(F54,작물!$C$17:$C$71,0)),{"일반","고급","희귀","전설"},0)),IF(H54="",0,MATCH(INDEX(작물!$B$17:$B$71,MATCH(H54,작물!$C$17:$C$71,0)),{"일반","고급","희귀","전설"},0)))),"작물 이름 확인")</f>
        <v>고급</v>
      </c>
      <c r="O54" s="6" t="str">
        <f t="shared" si="3"/>
        <v>OK</v>
      </c>
    </row>
    <row r="55" spans="1:15">
      <c r="A55" s="11">
        <v>51</v>
      </c>
      <c r="B55" s="4" t="s">
        <v>158</v>
      </c>
      <c r="C55" s="4" t="s">
        <v>439</v>
      </c>
      <c r="D55" s="4" t="s">
        <v>201</v>
      </c>
      <c r="E55" s="10">
        <v>3</v>
      </c>
      <c r="F55" s="4"/>
      <c r="G55" s="10"/>
      <c r="H55" s="4"/>
      <c r="I55" s="10"/>
      <c r="J55" s="11">
        <f t="shared" si="2"/>
        <v>3</v>
      </c>
      <c r="K55" s="13">
        <f>ROUND(INDEX(요리·별!$B$5:$B$8,MATCH(B55,요리·별!$A$5:$A$8,0))*(1-요리·별!$B$11),0)</f>
        <v>27</v>
      </c>
      <c r="L55" s="13">
        <f>ROUND(INDEX(요리·별!$B$5:$B$8,MATCH(B55,요리·별!$A$5:$A$8,0))*(1+요리·별!$B$11),0)</f>
        <v>33</v>
      </c>
      <c r="M55" s="13">
        <f>L55*요리·별!$B$18</f>
        <v>6600</v>
      </c>
      <c r="N55" s="7" t="str">
        <f>IFERROR(INDEX({"일반","고급","희귀","전설"},MAX(IF(D55="",0,MATCH(INDEX(작물!$B$17:$B$71,MATCH(D55,작물!$C$17:$C$71,0)),{"일반","고급","희귀","전설"},0)),IF(F55="",0,MATCH(INDEX(작물!$B$17:$B$71,MATCH(F55,작물!$C$17:$C$71,0)),{"일반","고급","희귀","전설"},0)),IF(H55="",0,MATCH(INDEX(작물!$B$17:$B$71,MATCH(H55,작물!$C$17:$C$71,0)),{"일반","고급","희귀","전설"},0)))),"작물 이름 확인")</f>
        <v>고급</v>
      </c>
      <c r="O55" s="6" t="str">
        <f t="shared" si="3"/>
        <v>OK</v>
      </c>
    </row>
    <row r="56" spans="1:15">
      <c r="A56" s="11">
        <v>52</v>
      </c>
      <c r="B56" s="4" t="s">
        <v>158</v>
      </c>
      <c r="C56" s="4" t="s">
        <v>440</v>
      </c>
      <c r="D56" s="4" t="s">
        <v>201</v>
      </c>
      <c r="E56" s="10">
        <v>2</v>
      </c>
      <c r="F56" s="4" t="s">
        <v>192</v>
      </c>
      <c r="G56" s="10">
        <v>2</v>
      </c>
      <c r="H56" s="4"/>
      <c r="I56" s="10"/>
      <c r="J56" s="11">
        <f t="shared" si="2"/>
        <v>4</v>
      </c>
      <c r="K56" s="13">
        <f>ROUND(INDEX(요리·별!$B$5:$B$8,MATCH(B56,요리·별!$A$5:$A$8,0))*(1-요리·별!$B$11),0)</f>
        <v>27</v>
      </c>
      <c r="L56" s="13">
        <f>ROUND(INDEX(요리·별!$B$5:$B$8,MATCH(B56,요리·별!$A$5:$A$8,0))*(1+요리·별!$B$11),0)</f>
        <v>33</v>
      </c>
      <c r="M56" s="13">
        <f>L56*요리·별!$B$18</f>
        <v>6600</v>
      </c>
      <c r="N56" s="7" t="str">
        <f>IFERROR(INDEX({"일반","고급","희귀","전설"},MAX(IF(D56="",0,MATCH(INDEX(작물!$B$17:$B$71,MATCH(D56,작물!$C$17:$C$71,0)),{"일반","고급","희귀","전설"},0)),IF(F56="",0,MATCH(INDEX(작물!$B$17:$B$71,MATCH(F56,작물!$C$17:$C$71,0)),{"일반","고급","희귀","전설"},0)),IF(H56="",0,MATCH(INDEX(작물!$B$17:$B$71,MATCH(H56,작물!$C$17:$C$71,0)),{"일반","고급","희귀","전설"},0)))),"작물 이름 확인")</f>
        <v>고급</v>
      </c>
      <c r="O56" s="6" t="str">
        <f t="shared" si="3"/>
        <v>OK</v>
      </c>
    </row>
    <row r="57" spans="1:15">
      <c r="A57" s="11">
        <v>53</v>
      </c>
      <c r="B57" s="4" t="s">
        <v>158</v>
      </c>
      <c r="C57" s="4" t="s">
        <v>441</v>
      </c>
      <c r="D57" s="4" t="s">
        <v>202</v>
      </c>
      <c r="E57" s="10">
        <v>1</v>
      </c>
      <c r="F57" s="4" t="s">
        <v>194</v>
      </c>
      <c r="G57" s="10">
        <v>1</v>
      </c>
      <c r="H57" s="4" t="s">
        <v>199</v>
      </c>
      <c r="I57" s="10">
        <v>1</v>
      </c>
      <c r="J57" s="11">
        <f t="shared" si="2"/>
        <v>3</v>
      </c>
      <c r="K57" s="13">
        <f>ROUND(INDEX(요리·별!$B$5:$B$8,MATCH(B57,요리·별!$A$5:$A$8,0))*(1-요리·별!$B$11),0)</f>
        <v>27</v>
      </c>
      <c r="L57" s="13">
        <f>ROUND(INDEX(요리·별!$B$5:$B$8,MATCH(B57,요리·별!$A$5:$A$8,0))*(1+요리·별!$B$11),0)</f>
        <v>33</v>
      </c>
      <c r="M57" s="13">
        <f>L57*요리·별!$B$18</f>
        <v>6600</v>
      </c>
      <c r="N57" s="7" t="str">
        <f>IFERROR(INDEX({"일반","고급","희귀","전설"},MAX(IF(D57="",0,MATCH(INDEX(작물!$B$17:$B$71,MATCH(D57,작물!$C$17:$C$71,0)),{"일반","고급","희귀","전설"},0)),IF(F57="",0,MATCH(INDEX(작물!$B$17:$B$71,MATCH(F57,작물!$C$17:$C$71,0)),{"일반","고급","희귀","전설"},0)),IF(H57="",0,MATCH(INDEX(작물!$B$17:$B$71,MATCH(H57,작물!$C$17:$C$71,0)),{"일반","고급","희귀","전설"},0)))),"작물 이름 확인")</f>
        <v>고급</v>
      </c>
      <c r="O57" s="6" t="str">
        <f t="shared" si="3"/>
        <v>OK</v>
      </c>
    </row>
    <row r="58" spans="1:15">
      <c r="A58" s="11">
        <v>54</v>
      </c>
      <c r="B58" s="4" t="s">
        <v>158</v>
      </c>
      <c r="C58" s="4" t="s">
        <v>442</v>
      </c>
      <c r="D58" s="4" t="s">
        <v>203</v>
      </c>
      <c r="E58" s="10">
        <v>2</v>
      </c>
      <c r="F58" s="4" t="s">
        <v>191</v>
      </c>
      <c r="G58" s="10">
        <v>2</v>
      </c>
      <c r="H58" s="4" t="s">
        <v>178</v>
      </c>
      <c r="I58" s="10">
        <v>1</v>
      </c>
      <c r="J58" s="11">
        <f t="shared" si="2"/>
        <v>5</v>
      </c>
      <c r="K58" s="13">
        <f>ROUND(INDEX(요리·별!$B$5:$B$8,MATCH(B58,요리·별!$A$5:$A$8,0))*(1-요리·별!$B$11),0)</f>
        <v>27</v>
      </c>
      <c r="L58" s="13">
        <f>ROUND(INDEX(요리·별!$B$5:$B$8,MATCH(B58,요리·별!$A$5:$A$8,0))*(1+요리·별!$B$11),0)</f>
        <v>33</v>
      </c>
      <c r="M58" s="13">
        <f>L58*요리·별!$B$18</f>
        <v>6600</v>
      </c>
      <c r="N58" s="7" t="str">
        <f>IFERROR(INDEX({"일반","고급","희귀","전설"},MAX(IF(D58="",0,MATCH(INDEX(작물!$B$17:$B$71,MATCH(D58,작물!$C$17:$C$71,0)),{"일반","고급","희귀","전설"},0)),IF(F58="",0,MATCH(INDEX(작물!$B$17:$B$71,MATCH(F58,작물!$C$17:$C$71,0)),{"일반","고급","희귀","전설"},0)),IF(H58="",0,MATCH(INDEX(작물!$B$17:$B$71,MATCH(H58,작물!$C$17:$C$71,0)),{"일반","고급","희귀","전설"},0)))),"작물 이름 확인")</f>
        <v>고급</v>
      </c>
      <c r="O58" s="6" t="str">
        <f t="shared" si="3"/>
        <v>OK</v>
      </c>
    </row>
    <row r="59" spans="1:15">
      <c r="A59" s="11">
        <v>55</v>
      </c>
      <c r="B59" s="4" t="s">
        <v>158</v>
      </c>
      <c r="C59" s="4" t="s">
        <v>443</v>
      </c>
      <c r="D59" s="4" t="s">
        <v>204</v>
      </c>
      <c r="E59" s="10">
        <v>2</v>
      </c>
      <c r="F59" s="4" t="s">
        <v>191</v>
      </c>
      <c r="G59" s="10">
        <v>2</v>
      </c>
      <c r="H59" s="4"/>
      <c r="I59" s="10"/>
      <c r="J59" s="11">
        <f t="shared" si="2"/>
        <v>4</v>
      </c>
      <c r="K59" s="13">
        <f>ROUND(INDEX(요리·별!$B$5:$B$8,MATCH(B59,요리·별!$A$5:$A$8,0))*(1-요리·별!$B$11),0)</f>
        <v>27</v>
      </c>
      <c r="L59" s="13">
        <f>ROUND(INDEX(요리·별!$B$5:$B$8,MATCH(B59,요리·별!$A$5:$A$8,0))*(1+요리·별!$B$11),0)</f>
        <v>33</v>
      </c>
      <c r="M59" s="13">
        <f>L59*요리·별!$B$18</f>
        <v>6600</v>
      </c>
      <c r="N59" s="7" t="str">
        <f>IFERROR(INDEX({"일반","고급","희귀","전설"},MAX(IF(D59="",0,MATCH(INDEX(작물!$B$17:$B$71,MATCH(D59,작물!$C$17:$C$71,0)),{"일반","고급","희귀","전설"},0)),IF(F59="",0,MATCH(INDEX(작물!$B$17:$B$71,MATCH(F59,작물!$C$17:$C$71,0)),{"일반","고급","희귀","전설"},0)),IF(H59="",0,MATCH(INDEX(작물!$B$17:$B$71,MATCH(H59,작물!$C$17:$C$71,0)),{"일반","고급","희귀","전설"},0)))),"작물 이름 확인")</f>
        <v>고급</v>
      </c>
      <c r="O59" s="6" t="str">
        <f t="shared" si="3"/>
        <v>OK</v>
      </c>
    </row>
    <row r="60" spans="1:15">
      <c r="A60" s="11">
        <v>56</v>
      </c>
      <c r="B60" s="4" t="s">
        <v>158</v>
      </c>
      <c r="C60" s="4" t="s">
        <v>444</v>
      </c>
      <c r="D60" s="4" t="s">
        <v>204</v>
      </c>
      <c r="E60" s="10">
        <v>3</v>
      </c>
      <c r="F60" s="4"/>
      <c r="G60" s="10"/>
      <c r="H60" s="4"/>
      <c r="I60" s="10"/>
      <c r="J60" s="11">
        <f t="shared" si="2"/>
        <v>3</v>
      </c>
      <c r="K60" s="13">
        <f>ROUND(INDEX(요리·별!$B$5:$B$8,MATCH(B60,요리·별!$A$5:$A$8,0))*(1-요리·별!$B$11),0)</f>
        <v>27</v>
      </c>
      <c r="L60" s="13">
        <f>ROUND(INDEX(요리·별!$B$5:$B$8,MATCH(B60,요리·별!$A$5:$A$8,0))*(1+요리·별!$B$11),0)</f>
        <v>33</v>
      </c>
      <c r="M60" s="13">
        <f>L60*요리·별!$B$18</f>
        <v>6600</v>
      </c>
      <c r="N60" s="7" t="str">
        <f>IFERROR(INDEX({"일반","고급","희귀","전설"},MAX(IF(D60="",0,MATCH(INDEX(작물!$B$17:$B$71,MATCH(D60,작물!$C$17:$C$71,0)),{"일반","고급","희귀","전설"},0)),IF(F60="",0,MATCH(INDEX(작물!$B$17:$B$71,MATCH(F60,작물!$C$17:$C$71,0)),{"일반","고급","희귀","전설"},0)),IF(H60="",0,MATCH(INDEX(작물!$B$17:$B$71,MATCH(H60,작물!$C$17:$C$71,0)),{"일반","고급","희귀","전설"},0)))),"작물 이름 확인")</f>
        <v>고급</v>
      </c>
      <c r="O60" s="6" t="str">
        <f t="shared" si="3"/>
        <v>OK</v>
      </c>
    </row>
    <row r="61" spans="1:15">
      <c r="A61" s="11">
        <v>57</v>
      </c>
      <c r="B61" s="4" t="s">
        <v>158</v>
      </c>
      <c r="C61" s="4" t="s">
        <v>445</v>
      </c>
      <c r="D61" s="4" t="s">
        <v>205</v>
      </c>
      <c r="E61" s="10">
        <v>2</v>
      </c>
      <c r="F61" s="4" t="s">
        <v>188</v>
      </c>
      <c r="G61" s="10">
        <v>1</v>
      </c>
      <c r="H61" s="4" t="s">
        <v>178</v>
      </c>
      <c r="I61" s="10">
        <v>1</v>
      </c>
      <c r="J61" s="11">
        <f t="shared" si="2"/>
        <v>4</v>
      </c>
      <c r="K61" s="13">
        <f>ROUND(INDEX(요리·별!$B$5:$B$8,MATCH(B61,요리·별!$A$5:$A$8,0))*(1-요리·별!$B$11),0)</f>
        <v>27</v>
      </c>
      <c r="L61" s="13">
        <f>ROUND(INDEX(요리·별!$B$5:$B$8,MATCH(B61,요리·별!$A$5:$A$8,0))*(1+요리·별!$B$11),0)</f>
        <v>33</v>
      </c>
      <c r="M61" s="13">
        <f>L61*요리·별!$B$18</f>
        <v>6600</v>
      </c>
      <c r="N61" s="7" t="str">
        <f>IFERROR(INDEX({"일반","고급","희귀","전설"},MAX(IF(D61="",0,MATCH(INDEX(작물!$B$17:$B$71,MATCH(D61,작물!$C$17:$C$71,0)),{"일반","고급","희귀","전설"},0)),IF(F61="",0,MATCH(INDEX(작물!$B$17:$B$71,MATCH(F61,작물!$C$17:$C$71,0)),{"일반","고급","희귀","전설"},0)),IF(H61="",0,MATCH(INDEX(작물!$B$17:$B$71,MATCH(H61,작물!$C$17:$C$71,0)),{"일반","고급","희귀","전설"},0)))),"작물 이름 확인")</f>
        <v>고급</v>
      </c>
      <c r="O61" s="6" t="str">
        <f t="shared" si="3"/>
        <v>OK</v>
      </c>
    </row>
    <row r="62" spans="1:15">
      <c r="A62" s="11">
        <v>58</v>
      </c>
      <c r="B62" s="4" t="s">
        <v>158</v>
      </c>
      <c r="C62" s="4" t="s">
        <v>446</v>
      </c>
      <c r="D62" s="4" t="s">
        <v>205</v>
      </c>
      <c r="E62" s="10">
        <v>2</v>
      </c>
      <c r="F62" s="4" t="s">
        <v>192</v>
      </c>
      <c r="G62" s="10">
        <v>1</v>
      </c>
      <c r="H62" s="4"/>
      <c r="I62" s="10"/>
      <c r="J62" s="11">
        <f t="shared" si="2"/>
        <v>3</v>
      </c>
      <c r="K62" s="13">
        <f>ROUND(INDEX(요리·별!$B$5:$B$8,MATCH(B62,요리·별!$A$5:$A$8,0))*(1-요리·별!$B$11),0)</f>
        <v>27</v>
      </c>
      <c r="L62" s="13">
        <f>ROUND(INDEX(요리·별!$B$5:$B$8,MATCH(B62,요리·별!$A$5:$A$8,0))*(1+요리·별!$B$11),0)</f>
        <v>33</v>
      </c>
      <c r="M62" s="13">
        <f>L62*요리·별!$B$18</f>
        <v>6600</v>
      </c>
      <c r="N62" s="7" t="str">
        <f>IFERROR(INDEX({"일반","고급","희귀","전설"},MAX(IF(D62="",0,MATCH(INDEX(작물!$B$17:$B$71,MATCH(D62,작물!$C$17:$C$71,0)),{"일반","고급","희귀","전설"},0)),IF(F62="",0,MATCH(INDEX(작물!$B$17:$B$71,MATCH(F62,작물!$C$17:$C$71,0)),{"일반","고급","희귀","전설"},0)),IF(H62="",0,MATCH(INDEX(작물!$B$17:$B$71,MATCH(H62,작물!$C$17:$C$71,0)),{"일반","고급","희귀","전설"},0)))),"작물 이름 확인")</f>
        <v>고급</v>
      </c>
      <c r="O62" s="6" t="str">
        <f t="shared" si="3"/>
        <v>OK</v>
      </c>
    </row>
    <row r="63" spans="1:15">
      <c r="A63" s="11">
        <v>59</v>
      </c>
      <c r="B63" s="4" t="s">
        <v>158</v>
      </c>
      <c r="C63" s="4" t="s">
        <v>447</v>
      </c>
      <c r="D63" s="4" t="s">
        <v>206</v>
      </c>
      <c r="E63" s="10">
        <v>3</v>
      </c>
      <c r="F63" s="4" t="s">
        <v>180</v>
      </c>
      <c r="G63" s="10">
        <v>1</v>
      </c>
      <c r="H63" s="4"/>
      <c r="I63" s="10"/>
      <c r="J63" s="11">
        <f t="shared" si="2"/>
        <v>4</v>
      </c>
      <c r="K63" s="13">
        <f>ROUND(INDEX(요리·별!$B$5:$B$8,MATCH(B63,요리·별!$A$5:$A$8,0))*(1-요리·별!$B$11),0)</f>
        <v>27</v>
      </c>
      <c r="L63" s="13">
        <f>ROUND(INDEX(요리·별!$B$5:$B$8,MATCH(B63,요리·별!$A$5:$A$8,0))*(1+요리·별!$B$11),0)</f>
        <v>33</v>
      </c>
      <c r="M63" s="13">
        <f>L63*요리·별!$B$18</f>
        <v>6600</v>
      </c>
      <c r="N63" s="7" t="str">
        <f>IFERROR(INDEX({"일반","고급","희귀","전설"},MAX(IF(D63="",0,MATCH(INDEX(작물!$B$17:$B$71,MATCH(D63,작물!$C$17:$C$71,0)),{"일반","고급","희귀","전설"},0)),IF(F63="",0,MATCH(INDEX(작물!$B$17:$B$71,MATCH(F63,작물!$C$17:$C$71,0)),{"일반","고급","희귀","전설"},0)),IF(H63="",0,MATCH(INDEX(작물!$B$17:$B$71,MATCH(H63,작물!$C$17:$C$71,0)),{"일반","고급","희귀","전설"},0)))),"작물 이름 확인")</f>
        <v>고급</v>
      </c>
      <c r="O63" s="6" t="str">
        <f t="shared" si="3"/>
        <v>OK</v>
      </c>
    </row>
    <row r="64" spans="1:15">
      <c r="A64" s="11">
        <v>60</v>
      </c>
      <c r="B64" s="4" t="s">
        <v>158</v>
      </c>
      <c r="C64" s="4" t="s">
        <v>448</v>
      </c>
      <c r="D64" s="4" t="s">
        <v>207</v>
      </c>
      <c r="E64" s="10">
        <v>2</v>
      </c>
      <c r="F64" s="4" t="s">
        <v>174</v>
      </c>
      <c r="G64" s="10">
        <v>1</v>
      </c>
      <c r="H64" s="4" t="s">
        <v>178</v>
      </c>
      <c r="I64" s="10">
        <v>1</v>
      </c>
      <c r="J64" s="11">
        <f t="shared" si="2"/>
        <v>4</v>
      </c>
      <c r="K64" s="13">
        <f>ROUND(INDEX(요리·별!$B$5:$B$8,MATCH(B64,요리·별!$A$5:$A$8,0))*(1-요리·별!$B$11),0)</f>
        <v>27</v>
      </c>
      <c r="L64" s="13">
        <f>ROUND(INDEX(요리·별!$B$5:$B$8,MATCH(B64,요리·별!$A$5:$A$8,0))*(1+요리·별!$B$11),0)</f>
        <v>33</v>
      </c>
      <c r="M64" s="13">
        <f>L64*요리·별!$B$18</f>
        <v>6600</v>
      </c>
      <c r="N64" s="7" t="str">
        <f>IFERROR(INDEX({"일반","고급","희귀","전설"},MAX(IF(D64="",0,MATCH(INDEX(작물!$B$17:$B$71,MATCH(D64,작물!$C$17:$C$71,0)),{"일반","고급","희귀","전설"},0)),IF(F64="",0,MATCH(INDEX(작물!$B$17:$B$71,MATCH(F64,작물!$C$17:$C$71,0)),{"일반","고급","희귀","전설"},0)),IF(H64="",0,MATCH(INDEX(작물!$B$17:$B$71,MATCH(H64,작물!$C$17:$C$71,0)),{"일반","고급","희귀","전설"},0)))),"작물 이름 확인")</f>
        <v>고급</v>
      </c>
      <c r="O64" s="6" t="str">
        <f t="shared" si="3"/>
        <v>OK</v>
      </c>
    </row>
    <row r="65" spans="1:15">
      <c r="A65" s="11">
        <v>61</v>
      </c>
      <c r="B65" s="4" t="s">
        <v>158</v>
      </c>
      <c r="C65" s="4" t="s">
        <v>449</v>
      </c>
      <c r="D65" s="4" t="s">
        <v>207</v>
      </c>
      <c r="E65" s="10">
        <v>2</v>
      </c>
      <c r="F65" s="4" t="s">
        <v>212</v>
      </c>
      <c r="G65" s="10">
        <v>1</v>
      </c>
      <c r="H65" s="4"/>
      <c r="I65" s="10"/>
      <c r="J65" s="11">
        <f t="shared" si="2"/>
        <v>3</v>
      </c>
      <c r="K65" s="13">
        <f>ROUND(INDEX(요리·별!$B$5:$B$8,MATCH(B65,요리·별!$A$5:$A$8,0))*(1-요리·별!$B$11),0)</f>
        <v>27</v>
      </c>
      <c r="L65" s="13">
        <f>ROUND(INDEX(요리·별!$B$5:$B$8,MATCH(B65,요리·별!$A$5:$A$8,0))*(1+요리·별!$B$11),0)</f>
        <v>33</v>
      </c>
      <c r="M65" s="13">
        <f>L65*요리·별!$B$18</f>
        <v>6600</v>
      </c>
      <c r="N65" s="7" t="str">
        <f>IFERROR(INDEX({"일반","고급","희귀","전설"},MAX(IF(D65="",0,MATCH(INDEX(작물!$B$17:$B$71,MATCH(D65,작물!$C$17:$C$71,0)),{"일반","고급","희귀","전설"},0)),IF(F65="",0,MATCH(INDEX(작물!$B$17:$B$71,MATCH(F65,작물!$C$17:$C$71,0)),{"일반","고급","희귀","전설"},0)),IF(H65="",0,MATCH(INDEX(작물!$B$17:$B$71,MATCH(H65,작물!$C$17:$C$71,0)),{"일반","고급","희귀","전설"},0)))),"작물 이름 확인")</f>
        <v>고급</v>
      </c>
      <c r="O65" s="6" t="str">
        <f t="shared" si="3"/>
        <v>OK</v>
      </c>
    </row>
    <row r="66" spans="1:15">
      <c r="A66" s="11">
        <v>62</v>
      </c>
      <c r="B66" s="4" t="s">
        <v>158</v>
      </c>
      <c r="C66" s="4" t="s">
        <v>450</v>
      </c>
      <c r="D66" s="4" t="s">
        <v>208</v>
      </c>
      <c r="E66" s="10">
        <v>2</v>
      </c>
      <c r="F66" s="4" t="s">
        <v>178</v>
      </c>
      <c r="G66" s="10">
        <v>1</v>
      </c>
      <c r="H66" s="4" t="s">
        <v>180</v>
      </c>
      <c r="I66" s="10">
        <v>1</v>
      </c>
      <c r="J66" s="11">
        <f t="shared" si="2"/>
        <v>4</v>
      </c>
      <c r="K66" s="13">
        <f>ROUND(INDEX(요리·별!$B$5:$B$8,MATCH(B66,요리·별!$A$5:$A$8,0))*(1-요리·별!$B$11),0)</f>
        <v>27</v>
      </c>
      <c r="L66" s="13">
        <f>ROUND(INDEX(요리·별!$B$5:$B$8,MATCH(B66,요리·별!$A$5:$A$8,0))*(1+요리·별!$B$11),0)</f>
        <v>33</v>
      </c>
      <c r="M66" s="13">
        <f>L66*요리·별!$B$18</f>
        <v>6600</v>
      </c>
      <c r="N66" s="7" t="str">
        <f>IFERROR(INDEX({"일반","고급","희귀","전설"},MAX(IF(D66="",0,MATCH(INDEX(작물!$B$17:$B$71,MATCH(D66,작물!$C$17:$C$71,0)),{"일반","고급","희귀","전설"},0)),IF(F66="",0,MATCH(INDEX(작물!$B$17:$B$71,MATCH(F66,작물!$C$17:$C$71,0)),{"일반","고급","희귀","전설"},0)),IF(H66="",0,MATCH(INDEX(작물!$B$17:$B$71,MATCH(H66,작물!$C$17:$C$71,0)),{"일반","고급","희귀","전설"},0)))),"작물 이름 확인")</f>
        <v>고급</v>
      </c>
      <c r="O66" s="6" t="str">
        <f t="shared" si="3"/>
        <v>OK</v>
      </c>
    </row>
    <row r="67" spans="1:15">
      <c r="A67" s="11">
        <v>63</v>
      </c>
      <c r="B67" s="4" t="s">
        <v>158</v>
      </c>
      <c r="C67" s="4" t="s">
        <v>451</v>
      </c>
      <c r="D67" s="4" t="s">
        <v>208</v>
      </c>
      <c r="E67" s="10">
        <v>1</v>
      </c>
      <c r="F67" s="4" t="s">
        <v>183</v>
      </c>
      <c r="G67" s="10">
        <v>1</v>
      </c>
      <c r="H67" s="4" t="s">
        <v>191</v>
      </c>
      <c r="I67" s="10">
        <v>1</v>
      </c>
      <c r="J67" s="11">
        <f t="shared" si="2"/>
        <v>3</v>
      </c>
      <c r="K67" s="13">
        <f>ROUND(INDEX(요리·별!$B$5:$B$8,MATCH(B67,요리·별!$A$5:$A$8,0))*(1-요리·별!$B$11),0)</f>
        <v>27</v>
      </c>
      <c r="L67" s="13">
        <f>ROUND(INDEX(요리·별!$B$5:$B$8,MATCH(B67,요리·별!$A$5:$A$8,0))*(1+요리·별!$B$11),0)</f>
        <v>33</v>
      </c>
      <c r="M67" s="13">
        <f>L67*요리·별!$B$18</f>
        <v>6600</v>
      </c>
      <c r="N67" s="7" t="str">
        <f>IFERROR(INDEX({"일반","고급","희귀","전설"},MAX(IF(D67="",0,MATCH(INDEX(작물!$B$17:$B$71,MATCH(D67,작물!$C$17:$C$71,0)),{"일반","고급","희귀","전설"},0)),IF(F67="",0,MATCH(INDEX(작물!$B$17:$B$71,MATCH(F67,작물!$C$17:$C$71,0)),{"일반","고급","희귀","전설"},0)),IF(H67="",0,MATCH(INDEX(작물!$B$17:$B$71,MATCH(H67,작물!$C$17:$C$71,0)),{"일반","고급","희귀","전설"},0)))),"작물 이름 확인")</f>
        <v>고급</v>
      </c>
      <c r="O67" s="6" t="str">
        <f t="shared" si="3"/>
        <v>OK</v>
      </c>
    </row>
    <row r="68" spans="1:15">
      <c r="A68" s="11">
        <v>64</v>
      </c>
      <c r="B68" s="4" t="s">
        <v>158</v>
      </c>
      <c r="C68" s="4" t="s">
        <v>452</v>
      </c>
      <c r="D68" s="4" t="s">
        <v>209</v>
      </c>
      <c r="E68" s="10">
        <v>3</v>
      </c>
      <c r="F68" s="4" t="s">
        <v>191</v>
      </c>
      <c r="G68" s="10">
        <v>1</v>
      </c>
      <c r="H68" s="4"/>
      <c r="I68" s="10"/>
      <c r="J68" s="11">
        <f t="shared" si="2"/>
        <v>4</v>
      </c>
      <c r="K68" s="13">
        <f>ROUND(INDEX(요리·별!$B$5:$B$8,MATCH(B68,요리·별!$A$5:$A$8,0))*(1-요리·별!$B$11),0)</f>
        <v>27</v>
      </c>
      <c r="L68" s="13">
        <f>ROUND(INDEX(요리·별!$B$5:$B$8,MATCH(B68,요리·별!$A$5:$A$8,0))*(1+요리·별!$B$11),0)</f>
        <v>33</v>
      </c>
      <c r="M68" s="13">
        <f>L68*요리·별!$B$18</f>
        <v>6600</v>
      </c>
      <c r="N68" s="7" t="str">
        <f>IFERROR(INDEX({"일반","고급","희귀","전설"},MAX(IF(D68="",0,MATCH(INDEX(작물!$B$17:$B$71,MATCH(D68,작물!$C$17:$C$71,0)),{"일반","고급","희귀","전설"},0)),IF(F68="",0,MATCH(INDEX(작물!$B$17:$B$71,MATCH(F68,작물!$C$17:$C$71,0)),{"일반","고급","희귀","전설"},0)),IF(H68="",0,MATCH(INDEX(작물!$B$17:$B$71,MATCH(H68,작물!$C$17:$C$71,0)),{"일반","고급","희귀","전설"},0)))),"작물 이름 확인")</f>
        <v>고급</v>
      </c>
      <c r="O68" s="6" t="str">
        <f t="shared" si="3"/>
        <v>OK</v>
      </c>
    </row>
    <row r="69" spans="1:15">
      <c r="A69" s="11">
        <v>65</v>
      </c>
      <c r="B69" s="4" t="s">
        <v>158</v>
      </c>
      <c r="C69" s="4" t="s">
        <v>453</v>
      </c>
      <c r="D69" s="4" t="s">
        <v>210</v>
      </c>
      <c r="E69" s="10">
        <v>2</v>
      </c>
      <c r="F69" s="4" t="s">
        <v>181</v>
      </c>
      <c r="G69" s="10">
        <v>1</v>
      </c>
      <c r="H69" s="4" t="s">
        <v>179</v>
      </c>
      <c r="I69" s="10">
        <v>1</v>
      </c>
      <c r="J69" s="11">
        <f t="shared" ref="J69:J100" si="4">SUM(E69,G69,I69)</f>
        <v>4</v>
      </c>
      <c r="K69" s="13">
        <f>ROUND(INDEX(요리·별!$B$5:$B$8,MATCH(B69,요리·별!$A$5:$A$8,0))*(1-요리·별!$B$11),0)</f>
        <v>27</v>
      </c>
      <c r="L69" s="13">
        <f>ROUND(INDEX(요리·별!$B$5:$B$8,MATCH(B69,요리·별!$A$5:$A$8,0))*(1+요리·별!$B$11),0)</f>
        <v>33</v>
      </c>
      <c r="M69" s="13">
        <f>L69*요리·별!$B$18</f>
        <v>6600</v>
      </c>
      <c r="N69" s="7" t="str">
        <f>IFERROR(INDEX({"일반","고급","희귀","전설"},MAX(IF(D69="",0,MATCH(INDEX(작물!$B$17:$B$71,MATCH(D69,작물!$C$17:$C$71,0)),{"일반","고급","희귀","전설"},0)),IF(F69="",0,MATCH(INDEX(작물!$B$17:$B$71,MATCH(F69,작물!$C$17:$C$71,0)),{"일반","고급","희귀","전설"},0)),IF(H69="",0,MATCH(INDEX(작물!$B$17:$B$71,MATCH(H69,작물!$C$17:$C$71,0)),{"일반","고급","희귀","전설"},0)))),"작물 이름 확인")</f>
        <v>고급</v>
      </c>
      <c r="O69" s="6" t="str">
        <f t="shared" ref="O69:O100" si="5">IF(N69="작물 이름 확인",N69,IF(MAX(E69,G69,I69)&gt;3,"같은 재료 3개 넘음",IF(N69=B69,"OK","등급 다름")))</f>
        <v>OK</v>
      </c>
    </row>
    <row r="70" spans="1:15">
      <c r="A70" s="11">
        <v>66</v>
      </c>
      <c r="B70" s="4" t="s">
        <v>158</v>
      </c>
      <c r="C70" s="4" t="s">
        <v>454</v>
      </c>
      <c r="D70" s="4" t="s">
        <v>210</v>
      </c>
      <c r="E70" s="10">
        <v>2</v>
      </c>
      <c r="F70" s="4" t="s">
        <v>192</v>
      </c>
      <c r="G70" s="10">
        <v>1</v>
      </c>
      <c r="H70" s="4"/>
      <c r="I70" s="10"/>
      <c r="J70" s="11">
        <f t="shared" si="4"/>
        <v>3</v>
      </c>
      <c r="K70" s="13">
        <f>ROUND(INDEX(요리·별!$B$5:$B$8,MATCH(B70,요리·별!$A$5:$A$8,0))*(1-요리·별!$B$11),0)</f>
        <v>27</v>
      </c>
      <c r="L70" s="13">
        <f>ROUND(INDEX(요리·별!$B$5:$B$8,MATCH(B70,요리·별!$A$5:$A$8,0))*(1+요리·별!$B$11),0)</f>
        <v>33</v>
      </c>
      <c r="M70" s="13">
        <f>L70*요리·별!$B$18</f>
        <v>6600</v>
      </c>
      <c r="N70" s="7" t="str">
        <f>IFERROR(INDEX({"일반","고급","희귀","전설"},MAX(IF(D70="",0,MATCH(INDEX(작물!$B$17:$B$71,MATCH(D70,작물!$C$17:$C$71,0)),{"일반","고급","희귀","전설"},0)),IF(F70="",0,MATCH(INDEX(작물!$B$17:$B$71,MATCH(F70,작물!$C$17:$C$71,0)),{"일반","고급","희귀","전설"},0)),IF(H70="",0,MATCH(INDEX(작물!$B$17:$B$71,MATCH(H70,작물!$C$17:$C$71,0)),{"일반","고급","희귀","전설"},0)))),"작물 이름 확인")</f>
        <v>고급</v>
      </c>
      <c r="O70" s="6" t="str">
        <f t="shared" si="5"/>
        <v>OK</v>
      </c>
    </row>
    <row r="71" spans="1:15">
      <c r="A71" s="11">
        <v>67</v>
      </c>
      <c r="B71" s="4" t="s">
        <v>158</v>
      </c>
      <c r="C71" s="4" t="s">
        <v>455</v>
      </c>
      <c r="D71" s="4" t="s">
        <v>211</v>
      </c>
      <c r="E71" s="10">
        <v>3</v>
      </c>
      <c r="F71" s="4"/>
      <c r="G71" s="10"/>
      <c r="H71" s="4"/>
      <c r="I71" s="10"/>
      <c r="J71" s="11">
        <f t="shared" si="4"/>
        <v>3</v>
      </c>
      <c r="K71" s="13">
        <f>ROUND(INDEX(요리·별!$B$5:$B$8,MATCH(B71,요리·별!$A$5:$A$8,0))*(1-요리·별!$B$11),0)</f>
        <v>27</v>
      </c>
      <c r="L71" s="13">
        <f>ROUND(INDEX(요리·별!$B$5:$B$8,MATCH(B71,요리·별!$A$5:$A$8,0))*(1+요리·별!$B$11),0)</f>
        <v>33</v>
      </c>
      <c r="M71" s="13">
        <f>L71*요리·별!$B$18</f>
        <v>6600</v>
      </c>
      <c r="N71" s="7" t="str">
        <f>IFERROR(INDEX({"일반","고급","희귀","전설"},MAX(IF(D71="",0,MATCH(INDEX(작물!$B$17:$B$71,MATCH(D71,작물!$C$17:$C$71,0)),{"일반","고급","희귀","전설"},0)),IF(F71="",0,MATCH(INDEX(작물!$B$17:$B$71,MATCH(F71,작물!$C$17:$C$71,0)),{"일반","고급","희귀","전설"},0)),IF(H71="",0,MATCH(INDEX(작물!$B$17:$B$71,MATCH(H71,작물!$C$17:$C$71,0)),{"일반","고급","희귀","전설"},0)))),"작물 이름 확인")</f>
        <v>고급</v>
      </c>
      <c r="O71" s="6" t="str">
        <f t="shared" si="5"/>
        <v>OK</v>
      </c>
    </row>
    <row r="72" spans="1:15">
      <c r="A72" s="11">
        <v>68</v>
      </c>
      <c r="B72" s="4" t="s">
        <v>158</v>
      </c>
      <c r="C72" s="4" t="s">
        <v>456</v>
      </c>
      <c r="D72" s="4" t="s">
        <v>212</v>
      </c>
      <c r="E72" s="10">
        <v>3</v>
      </c>
      <c r="F72" s="4" t="s">
        <v>191</v>
      </c>
      <c r="G72" s="10">
        <v>1</v>
      </c>
      <c r="H72" s="4"/>
      <c r="I72" s="10"/>
      <c r="J72" s="11">
        <f t="shared" si="4"/>
        <v>4</v>
      </c>
      <c r="K72" s="13">
        <f>ROUND(INDEX(요리·별!$B$5:$B$8,MATCH(B72,요리·별!$A$5:$A$8,0))*(1-요리·별!$B$11),0)</f>
        <v>27</v>
      </c>
      <c r="L72" s="13">
        <f>ROUND(INDEX(요리·별!$B$5:$B$8,MATCH(B72,요리·별!$A$5:$A$8,0))*(1+요리·별!$B$11),0)</f>
        <v>33</v>
      </c>
      <c r="M72" s="13">
        <f>L72*요리·별!$B$18</f>
        <v>6600</v>
      </c>
      <c r="N72" s="7" t="str">
        <f>IFERROR(INDEX({"일반","고급","희귀","전설"},MAX(IF(D72="",0,MATCH(INDEX(작물!$B$17:$B$71,MATCH(D72,작물!$C$17:$C$71,0)),{"일반","고급","희귀","전설"},0)),IF(F72="",0,MATCH(INDEX(작물!$B$17:$B$71,MATCH(F72,작물!$C$17:$C$71,0)),{"일반","고급","희귀","전설"},0)),IF(H72="",0,MATCH(INDEX(작물!$B$17:$B$71,MATCH(H72,작물!$C$17:$C$71,0)),{"일반","고급","희귀","전설"},0)))),"작물 이름 확인")</f>
        <v>고급</v>
      </c>
      <c r="O72" s="6" t="str">
        <f t="shared" si="5"/>
        <v>OK</v>
      </c>
    </row>
    <row r="73" spans="1:15">
      <c r="A73" s="11">
        <v>69</v>
      </c>
      <c r="B73" s="4" t="s">
        <v>158</v>
      </c>
      <c r="C73" s="4" t="s">
        <v>457</v>
      </c>
      <c r="D73" s="4" t="s">
        <v>175</v>
      </c>
      <c r="E73" s="10">
        <v>3</v>
      </c>
      <c r="F73" s="4" t="s">
        <v>212</v>
      </c>
      <c r="G73" s="10">
        <v>1</v>
      </c>
      <c r="H73" s="4"/>
      <c r="I73" s="10"/>
      <c r="J73" s="11">
        <f t="shared" si="4"/>
        <v>4</v>
      </c>
      <c r="K73" s="13">
        <f>ROUND(INDEX(요리·별!$B$5:$B$8,MATCH(B73,요리·별!$A$5:$A$8,0))*(1-요리·별!$B$11),0)</f>
        <v>27</v>
      </c>
      <c r="L73" s="13">
        <f>ROUND(INDEX(요리·별!$B$5:$B$8,MATCH(B73,요리·별!$A$5:$A$8,0))*(1+요리·별!$B$11),0)</f>
        <v>33</v>
      </c>
      <c r="M73" s="13">
        <f>L73*요리·별!$B$18</f>
        <v>6600</v>
      </c>
      <c r="N73" s="7" t="str">
        <f>IFERROR(INDEX({"일반","고급","희귀","전설"},MAX(IF(D73="",0,MATCH(INDEX(작물!$B$17:$B$71,MATCH(D73,작물!$C$17:$C$71,0)),{"일반","고급","희귀","전설"},0)),IF(F73="",0,MATCH(INDEX(작물!$B$17:$B$71,MATCH(F73,작물!$C$17:$C$71,0)),{"일반","고급","희귀","전설"},0)),IF(H73="",0,MATCH(INDEX(작물!$B$17:$B$71,MATCH(H73,작물!$C$17:$C$71,0)),{"일반","고급","희귀","전설"},0)))),"작물 이름 확인")</f>
        <v>고급</v>
      </c>
      <c r="O73" s="6" t="str">
        <f t="shared" si="5"/>
        <v>OK</v>
      </c>
    </row>
    <row r="74" spans="1:15">
      <c r="A74" s="11">
        <v>70</v>
      </c>
      <c r="B74" s="4" t="s">
        <v>158</v>
      </c>
      <c r="C74" s="4" t="s">
        <v>458</v>
      </c>
      <c r="D74" s="4" t="s">
        <v>213</v>
      </c>
      <c r="E74" s="10">
        <v>2</v>
      </c>
      <c r="F74" s="4" t="s">
        <v>192</v>
      </c>
      <c r="G74" s="10">
        <v>2</v>
      </c>
      <c r="H74" s="4"/>
      <c r="I74" s="10"/>
      <c r="J74" s="11">
        <f t="shared" si="4"/>
        <v>4</v>
      </c>
      <c r="K74" s="13">
        <f>ROUND(INDEX(요리·별!$B$5:$B$8,MATCH(B74,요리·별!$A$5:$A$8,0))*(1-요리·별!$B$11),0)</f>
        <v>27</v>
      </c>
      <c r="L74" s="13">
        <f>ROUND(INDEX(요리·별!$B$5:$B$8,MATCH(B74,요리·별!$A$5:$A$8,0))*(1+요리·별!$B$11),0)</f>
        <v>33</v>
      </c>
      <c r="M74" s="13">
        <f>L74*요리·별!$B$18</f>
        <v>6600</v>
      </c>
      <c r="N74" s="7" t="str">
        <f>IFERROR(INDEX({"일반","고급","희귀","전설"},MAX(IF(D74="",0,MATCH(INDEX(작물!$B$17:$B$71,MATCH(D74,작물!$C$17:$C$71,0)),{"일반","고급","희귀","전설"},0)),IF(F74="",0,MATCH(INDEX(작물!$B$17:$B$71,MATCH(F74,작물!$C$17:$C$71,0)),{"일반","고급","희귀","전설"},0)),IF(H74="",0,MATCH(INDEX(작물!$B$17:$B$71,MATCH(H74,작물!$C$17:$C$71,0)),{"일반","고급","희귀","전설"},0)))),"작물 이름 확인")</f>
        <v>고급</v>
      </c>
      <c r="O74" s="6" t="str">
        <f t="shared" si="5"/>
        <v>OK</v>
      </c>
    </row>
    <row r="75" spans="1:15">
      <c r="A75" s="11">
        <v>71</v>
      </c>
      <c r="B75" s="4" t="s">
        <v>159</v>
      </c>
      <c r="C75" s="4" t="s">
        <v>459</v>
      </c>
      <c r="D75" s="4" t="s">
        <v>214</v>
      </c>
      <c r="E75" s="10">
        <v>2</v>
      </c>
      <c r="F75" s="4" t="s">
        <v>211</v>
      </c>
      <c r="G75" s="10">
        <v>1</v>
      </c>
      <c r="H75" s="4"/>
      <c r="I75" s="10"/>
      <c r="J75" s="11">
        <f t="shared" si="4"/>
        <v>3</v>
      </c>
      <c r="K75" s="13">
        <f>ROUND(INDEX(요리·별!$B$5:$B$8,MATCH(B75,요리·별!$A$5:$A$8,0))*(1-요리·별!$B$11),0)</f>
        <v>135</v>
      </c>
      <c r="L75" s="13">
        <f>ROUND(INDEX(요리·별!$B$5:$B$8,MATCH(B75,요리·별!$A$5:$A$8,0))*(1+요리·별!$B$11),0)</f>
        <v>165</v>
      </c>
      <c r="M75" s="13">
        <f>L75*요리·별!$B$18</f>
        <v>33000</v>
      </c>
      <c r="N75" s="7" t="str">
        <f>IFERROR(INDEX({"일반","고급","희귀","전설"},MAX(IF(D75="",0,MATCH(INDEX(작물!$B$17:$B$71,MATCH(D75,작물!$C$17:$C$71,0)),{"일반","고급","희귀","전설"},0)),IF(F75="",0,MATCH(INDEX(작물!$B$17:$B$71,MATCH(F75,작물!$C$17:$C$71,0)),{"일반","고급","희귀","전설"},0)),IF(H75="",0,MATCH(INDEX(작물!$B$17:$B$71,MATCH(H75,작물!$C$17:$C$71,0)),{"일반","고급","희귀","전설"},0)))),"작물 이름 확인")</f>
        <v>희귀</v>
      </c>
      <c r="O75" s="6" t="str">
        <f t="shared" si="5"/>
        <v>OK</v>
      </c>
    </row>
    <row r="76" spans="1:15">
      <c r="A76" s="11">
        <v>72</v>
      </c>
      <c r="B76" s="4" t="s">
        <v>159</v>
      </c>
      <c r="C76" s="4" t="s">
        <v>460</v>
      </c>
      <c r="D76" s="4" t="s">
        <v>214</v>
      </c>
      <c r="E76" s="10">
        <v>3</v>
      </c>
      <c r="F76" s="4"/>
      <c r="G76" s="10"/>
      <c r="H76" s="4"/>
      <c r="I76" s="10"/>
      <c r="J76" s="11">
        <f t="shared" si="4"/>
        <v>3</v>
      </c>
      <c r="K76" s="13">
        <f>ROUND(INDEX(요리·별!$B$5:$B$8,MATCH(B76,요리·별!$A$5:$A$8,0))*(1-요리·별!$B$11),0)</f>
        <v>135</v>
      </c>
      <c r="L76" s="13">
        <f>ROUND(INDEX(요리·별!$B$5:$B$8,MATCH(B76,요리·별!$A$5:$A$8,0))*(1+요리·별!$B$11),0)</f>
        <v>165</v>
      </c>
      <c r="M76" s="13">
        <f>L76*요리·별!$B$18</f>
        <v>33000</v>
      </c>
      <c r="N76" s="7" t="str">
        <f>IFERROR(INDEX({"일반","고급","희귀","전설"},MAX(IF(D76="",0,MATCH(INDEX(작물!$B$17:$B$71,MATCH(D76,작물!$C$17:$C$71,0)),{"일반","고급","희귀","전설"},0)),IF(F76="",0,MATCH(INDEX(작물!$B$17:$B$71,MATCH(F76,작물!$C$17:$C$71,0)),{"일반","고급","희귀","전설"},0)),IF(H76="",0,MATCH(INDEX(작물!$B$17:$B$71,MATCH(H76,작물!$C$17:$C$71,0)),{"일반","고급","희귀","전설"},0)))),"작물 이름 확인")</f>
        <v>희귀</v>
      </c>
      <c r="O76" s="6" t="str">
        <f t="shared" si="5"/>
        <v>OK</v>
      </c>
    </row>
    <row r="77" spans="1:15">
      <c r="A77" s="11">
        <v>73</v>
      </c>
      <c r="B77" s="4" t="s">
        <v>159</v>
      </c>
      <c r="C77" s="4" t="s">
        <v>461</v>
      </c>
      <c r="D77" s="4" t="s">
        <v>215</v>
      </c>
      <c r="E77" s="10">
        <v>2</v>
      </c>
      <c r="F77" s="4"/>
      <c r="G77" s="10"/>
      <c r="H77" s="4"/>
      <c r="I77" s="10"/>
      <c r="J77" s="11">
        <f t="shared" si="4"/>
        <v>2</v>
      </c>
      <c r="K77" s="13">
        <f>ROUND(INDEX(요리·별!$B$5:$B$8,MATCH(B77,요리·별!$A$5:$A$8,0))*(1-요리·별!$B$11),0)</f>
        <v>135</v>
      </c>
      <c r="L77" s="13">
        <f>ROUND(INDEX(요리·별!$B$5:$B$8,MATCH(B77,요리·별!$A$5:$A$8,0))*(1+요리·별!$B$11),0)</f>
        <v>165</v>
      </c>
      <c r="M77" s="13">
        <f>L77*요리·별!$B$18</f>
        <v>33000</v>
      </c>
      <c r="N77" s="7" t="str">
        <f>IFERROR(INDEX({"일반","고급","희귀","전설"},MAX(IF(D77="",0,MATCH(INDEX(작물!$B$17:$B$71,MATCH(D77,작물!$C$17:$C$71,0)),{"일반","고급","희귀","전설"},0)),IF(F77="",0,MATCH(INDEX(작물!$B$17:$B$71,MATCH(F77,작물!$C$17:$C$71,0)),{"일반","고급","희귀","전설"},0)),IF(H77="",0,MATCH(INDEX(작물!$B$17:$B$71,MATCH(H77,작물!$C$17:$C$71,0)),{"일반","고급","희귀","전설"},0)))),"작물 이름 확인")</f>
        <v>희귀</v>
      </c>
      <c r="O77" s="6" t="str">
        <f t="shared" si="5"/>
        <v>OK</v>
      </c>
    </row>
    <row r="78" spans="1:15">
      <c r="A78" s="11">
        <v>74</v>
      </c>
      <c r="B78" s="4" t="s">
        <v>159</v>
      </c>
      <c r="C78" s="4" t="s">
        <v>462</v>
      </c>
      <c r="D78" s="4" t="s">
        <v>215</v>
      </c>
      <c r="E78" s="10">
        <v>1</v>
      </c>
      <c r="F78" s="4" t="s">
        <v>191</v>
      </c>
      <c r="G78" s="10">
        <v>3</v>
      </c>
      <c r="H78" s="4"/>
      <c r="I78" s="10"/>
      <c r="J78" s="11">
        <f t="shared" si="4"/>
        <v>4</v>
      </c>
      <c r="K78" s="13">
        <f>ROUND(INDEX(요리·별!$B$5:$B$8,MATCH(B78,요리·별!$A$5:$A$8,0))*(1-요리·별!$B$11),0)</f>
        <v>135</v>
      </c>
      <c r="L78" s="13">
        <f>ROUND(INDEX(요리·별!$B$5:$B$8,MATCH(B78,요리·별!$A$5:$A$8,0))*(1+요리·별!$B$11),0)</f>
        <v>165</v>
      </c>
      <c r="M78" s="13">
        <f>L78*요리·별!$B$18</f>
        <v>33000</v>
      </c>
      <c r="N78" s="7" t="str">
        <f>IFERROR(INDEX({"일반","고급","희귀","전설"},MAX(IF(D78="",0,MATCH(INDEX(작물!$B$17:$B$71,MATCH(D78,작물!$C$17:$C$71,0)),{"일반","고급","희귀","전설"},0)),IF(F78="",0,MATCH(INDEX(작물!$B$17:$B$71,MATCH(F78,작물!$C$17:$C$71,0)),{"일반","고급","희귀","전설"},0)),IF(H78="",0,MATCH(INDEX(작물!$B$17:$B$71,MATCH(H78,작물!$C$17:$C$71,0)),{"일반","고급","희귀","전설"},0)))),"작물 이름 확인")</f>
        <v>희귀</v>
      </c>
      <c r="O78" s="6" t="str">
        <f t="shared" si="5"/>
        <v>OK</v>
      </c>
    </row>
    <row r="79" spans="1:15">
      <c r="A79" s="11">
        <v>75</v>
      </c>
      <c r="B79" s="4" t="s">
        <v>159</v>
      </c>
      <c r="C79" s="4" t="s">
        <v>463</v>
      </c>
      <c r="D79" s="4" t="s">
        <v>216</v>
      </c>
      <c r="E79" s="10">
        <v>1</v>
      </c>
      <c r="F79" s="4" t="s">
        <v>192</v>
      </c>
      <c r="G79" s="10">
        <v>2</v>
      </c>
      <c r="H79" s="4" t="s">
        <v>180</v>
      </c>
      <c r="I79" s="10">
        <v>1</v>
      </c>
      <c r="J79" s="11">
        <f t="shared" si="4"/>
        <v>4</v>
      </c>
      <c r="K79" s="13">
        <f>ROUND(INDEX(요리·별!$B$5:$B$8,MATCH(B79,요리·별!$A$5:$A$8,0))*(1-요리·별!$B$11),0)</f>
        <v>135</v>
      </c>
      <c r="L79" s="13">
        <f>ROUND(INDEX(요리·별!$B$5:$B$8,MATCH(B79,요리·별!$A$5:$A$8,0))*(1+요리·별!$B$11),0)</f>
        <v>165</v>
      </c>
      <c r="M79" s="13">
        <f>L79*요리·별!$B$18</f>
        <v>33000</v>
      </c>
      <c r="N79" s="7" t="str">
        <f>IFERROR(INDEX({"일반","고급","희귀","전설"},MAX(IF(D79="",0,MATCH(INDEX(작물!$B$17:$B$71,MATCH(D79,작물!$C$17:$C$71,0)),{"일반","고급","희귀","전설"},0)),IF(F79="",0,MATCH(INDEX(작물!$B$17:$B$71,MATCH(F79,작물!$C$17:$C$71,0)),{"일반","고급","희귀","전설"},0)),IF(H79="",0,MATCH(INDEX(작물!$B$17:$B$71,MATCH(H79,작물!$C$17:$C$71,0)),{"일반","고급","희귀","전설"},0)))),"작물 이름 확인")</f>
        <v>희귀</v>
      </c>
      <c r="O79" s="6" t="str">
        <f t="shared" si="5"/>
        <v>OK</v>
      </c>
    </row>
    <row r="80" spans="1:15">
      <c r="A80" s="11">
        <v>76</v>
      </c>
      <c r="B80" s="4" t="s">
        <v>159</v>
      </c>
      <c r="C80" s="4" t="s">
        <v>464</v>
      </c>
      <c r="D80" s="4" t="s">
        <v>216</v>
      </c>
      <c r="E80" s="10">
        <v>1</v>
      </c>
      <c r="F80" s="4" t="s">
        <v>191</v>
      </c>
      <c r="G80" s="10">
        <v>2</v>
      </c>
      <c r="H80" s="4" t="s">
        <v>210</v>
      </c>
      <c r="I80" s="10">
        <v>1</v>
      </c>
      <c r="J80" s="11">
        <f t="shared" si="4"/>
        <v>4</v>
      </c>
      <c r="K80" s="13">
        <f>ROUND(INDEX(요리·별!$B$5:$B$8,MATCH(B80,요리·별!$A$5:$A$8,0))*(1-요리·별!$B$11),0)</f>
        <v>135</v>
      </c>
      <c r="L80" s="13">
        <f>ROUND(INDEX(요리·별!$B$5:$B$8,MATCH(B80,요리·별!$A$5:$A$8,0))*(1+요리·별!$B$11),0)</f>
        <v>165</v>
      </c>
      <c r="M80" s="13">
        <f>L80*요리·별!$B$18</f>
        <v>33000</v>
      </c>
      <c r="N80" s="7" t="str">
        <f>IFERROR(INDEX({"일반","고급","희귀","전설"},MAX(IF(D80="",0,MATCH(INDEX(작물!$B$17:$B$71,MATCH(D80,작물!$C$17:$C$71,0)),{"일반","고급","희귀","전설"},0)),IF(F80="",0,MATCH(INDEX(작물!$B$17:$B$71,MATCH(F80,작물!$C$17:$C$71,0)),{"일반","고급","희귀","전설"},0)),IF(H80="",0,MATCH(INDEX(작물!$B$17:$B$71,MATCH(H80,작물!$C$17:$C$71,0)),{"일반","고급","희귀","전설"},0)))),"작물 이름 확인")</f>
        <v>희귀</v>
      </c>
      <c r="O80" s="6" t="str">
        <f t="shared" si="5"/>
        <v>OK</v>
      </c>
    </row>
    <row r="81" spans="1:15">
      <c r="A81" s="11">
        <v>77</v>
      </c>
      <c r="B81" s="4" t="s">
        <v>159</v>
      </c>
      <c r="C81" s="4" t="s">
        <v>465</v>
      </c>
      <c r="D81" s="4" t="s">
        <v>217</v>
      </c>
      <c r="E81" s="10">
        <v>1</v>
      </c>
      <c r="F81" s="4" t="s">
        <v>191</v>
      </c>
      <c r="G81" s="10">
        <v>3</v>
      </c>
      <c r="H81" s="4" t="s">
        <v>208</v>
      </c>
      <c r="I81" s="10">
        <v>1</v>
      </c>
      <c r="J81" s="11">
        <f t="shared" si="4"/>
        <v>5</v>
      </c>
      <c r="K81" s="13">
        <f>ROUND(INDEX(요리·별!$B$5:$B$8,MATCH(B81,요리·별!$A$5:$A$8,0))*(1-요리·별!$B$11),0)</f>
        <v>135</v>
      </c>
      <c r="L81" s="13">
        <f>ROUND(INDEX(요리·별!$B$5:$B$8,MATCH(B81,요리·별!$A$5:$A$8,0))*(1+요리·별!$B$11),0)</f>
        <v>165</v>
      </c>
      <c r="M81" s="13">
        <f>L81*요리·별!$B$18</f>
        <v>33000</v>
      </c>
      <c r="N81" s="7" t="str">
        <f>IFERROR(INDEX({"일반","고급","희귀","전설"},MAX(IF(D81="",0,MATCH(INDEX(작물!$B$17:$B$71,MATCH(D81,작물!$C$17:$C$71,0)),{"일반","고급","희귀","전설"},0)),IF(F81="",0,MATCH(INDEX(작물!$B$17:$B$71,MATCH(F81,작물!$C$17:$C$71,0)),{"일반","고급","희귀","전설"},0)),IF(H81="",0,MATCH(INDEX(작물!$B$17:$B$71,MATCH(H81,작물!$C$17:$C$71,0)),{"일반","고급","희귀","전설"},0)))),"작물 이름 확인")</f>
        <v>희귀</v>
      </c>
      <c r="O81" s="6" t="str">
        <f t="shared" si="5"/>
        <v>OK</v>
      </c>
    </row>
    <row r="82" spans="1:15">
      <c r="A82" s="11">
        <v>78</v>
      </c>
      <c r="B82" s="4" t="s">
        <v>159</v>
      </c>
      <c r="C82" s="4" t="s">
        <v>466</v>
      </c>
      <c r="D82" s="4" t="s">
        <v>217</v>
      </c>
      <c r="E82" s="10">
        <v>1</v>
      </c>
      <c r="F82" s="4" t="s">
        <v>192</v>
      </c>
      <c r="G82" s="10">
        <v>3</v>
      </c>
      <c r="H82" s="4"/>
      <c r="I82" s="10"/>
      <c r="J82" s="11">
        <f t="shared" si="4"/>
        <v>4</v>
      </c>
      <c r="K82" s="13">
        <f>ROUND(INDEX(요리·별!$B$5:$B$8,MATCH(B82,요리·별!$A$5:$A$8,0))*(1-요리·별!$B$11),0)</f>
        <v>135</v>
      </c>
      <c r="L82" s="13">
        <f>ROUND(INDEX(요리·별!$B$5:$B$8,MATCH(B82,요리·별!$A$5:$A$8,0))*(1+요리·별!$B$11),0)</f>
        <v>165</v>
      </c>
      <c r="M82" s="13">
        <f>L82*요리·별!$B$18</f>
        <v>33000</v>
      </c>
      <c r="N82" s="7" t="str">
        <f>IFERROR(INDEX({"일반","고급","희귀","전설"},MAX(IF(D82="",0,MATCH(INDEX(작물!$B$17:$B$71,MATCH(D82,작물!$C$17:$C$71,0)),{"일반","고급","희귀","전설"},0)),IF(F82="",0,MATCH(INDEX(작물!$B$17:$B$71,MATCH(F82,작물!$C$17:$C$71,0)),{"일반","고급","희귀","전설"},0)),IF(H82="",0,MATCH(INDEX(작물!$B$17:$B$71,MATCH(H82,작물!$C$17:$C$71,0)),{"일반","고급","희귀","전설"},0)))),"작물 이름 확인")</f>
        <v>희귀</v>
      </c>
      <c r="O82" s="6" t="str">
        <f t="shared" si="5"/>
        <v>OK</v>
      </c>
    </row>
    <row r="83" spans="1:15">
      <c r="A83" s="11">
        <v>79</v>
      </c>
      <c r="B83" s="4" t="s">
        <v>159</v>
      </c>
      <c r="C83" s="4" t="s">
        <v>467</v>
      </c>
      <c r="D83" s="4" t="s">
        <v>218</v>
      </c>
      <c r="E83" s="10">
        <v>2</v>
      </c>
      <c r="F83" s="4" t="s">
        <v>193</v>
      </c>
      <c r="G83" s="10">
        <v>2</v>
      </c>
      <c r="H83" s="4"/>
      <c r="I83" s="10"/>
      <c r="J83" s="11">
        <f t="shared" si="4"/>
        <v>4</v>
      </c>
      <c r="K83" s="13">
        <f>ROUND(INDEX(요리·별!$B$5:$B$8,MATCH(B83,요리·별!$A$5:$A$8,0))*(1-요리·별!$B$11),0)</f>
        <v>135</v>
      </c>
      <c r="L83" s="13">
        <f>ROUND(INDEX(요리·별!$B$5:$B$8,MATCH(B83,요리·별!$A$5:$A$8,0))*(1+요리·별!$B$11),0)</f>
        <v>165</v>
      </c>
      <c r="M83" s="13">
        <f>L83*요리·별!$B$18</f>
        <v>33000</v>
      </c>
      <c r="N83" s="7" t="str">
        <f>IFERROR(INDEX({"일반","고급","희귀","전설"},MAX(IF(D83="",0,MATCH(INDEX(작물!$B$17:$B$71,MATCH(D83,작물!$C$17:$C$71,0)),{"일반","고급","희귀","전설"},0)),IF(F83="",0,MATCH(INDEX(작물!$B$17:$B$71,MATCH(F83,작물!$C$17:$C$71,0)),{"일반","고급","희귀","전설"},0)),IF(H83="",0,MATCH(INDEX(작물!$B$17:$B$71,MATCH(H83,작물!$C$17:$C$71,0)),{"일반","고급","희귀","전설"},0)))),"작물 이름 확인")</f>
        <v>희귀</v>
      </c>
      <c r="O83" s="6" t="str">
        <f t="shared" si="5"/>
        <v>OK</v>
      </c>
    </row>
    <row r="84" spans="1:15">
      <c r="A84" s="11">
        <v>80</v>
      </c>
      <c r="B84" s="4" t="s">
        <v>159</v>
      </c>
      <c r="C84" s="4" t="s">
        <v>468</v>
      </c>
      <c r="D84" s="4" t="s">
        <v>218</v>
      </c>
      <c r="E84" s="10">
        <v>1</v>
      </c>
      <c r="F84" s="4" t="s">
        <v>192</v>
      </c>
      <c r="G84" s="10">
        <v>2</v>
      </c>
      <c r="H84" s="4"/>
      <c r="I84" s="10"/>
      <c r="J84" s="11">
        <f t="shared" si="4"/>
        <v>3</v>
      </c>
      <c r="K84" s="13">
        <f>ROUND(INDEX(요리·별!$B$5:$B$8,MATCH(B84,요리·별!$A$5:$A$8,0))*(1-요리·별!$B$11),0)</f>
        <v>135</v>
      </c>
      <c r="L84" s="13">
        <f>ROUND(INDEX(요리·별!$B$5:$B$8,MATCH(B84,요리·별!$A$5:$A$8,0))*(1+요리·별!$B$11),0)</f>
        <v>165</v>
      </c>
      <c r="M84" s="13">
        <f>L84*요리·별!$B$18</f>
        <v>33000</v>
      </c>
      <c r="N84" s="7" t="str">
        <f>IFERROR(INDEX({"일반","고급","희귀","전설"},MAX(IF(D84="",0,MATCH(INDEX(작물!$B$17:$B$71,MATCH(D84,작물!$C$17:$C$71,0)),{"일반","고급","희귀","전설"},0)),IF(F84="",0,MATCH(INDEX(작물!$B$17:$B$71,MATCH(F84,작물!$C$17:$C$71,0)),{"일반","고급","희귀","전설"},0)),IF(H84="",0,MATCH(INDEX(작물!$B$17:$B$71,MATCH(H84,작물!$C$17:$C$71,0)),{"일반","고급","희귀","전설"},0)))),"작물 이름 확인")</f>
        <v>희귀</v>
      </c>
      <c r="O84" s="6" t="str">
        <f t="shared" si="5"/>
        <v>OK</v>
      </c>
    </row>
    <row r="85" spans="1:15">
      <c r="A85" s="11">
        <v>81</v>
      </c>
      <c r="B85" s="4" t="s">
        <v>159</v>
      </c>
      <c r="C85" s="4" t="s">
        <v>469</v>
      </c>
      <c r="D85" s="4" t="s">
        <v>219</v>
      </c>
      <c r="E85" s="10">
        <v>3</v>
      </c>
      <c r="F85" s="4"/>
      <c r="G85" s="10"/>
      <c r="H85" s="4"/>
      <c r="I85" s="10"/>
      <c r="J85" s="11">
        <f t="shared" si="4"/>
        <v>3</v>
      </c>
      <c r="K85" s="13">
        <f>ROUND(INDEX(요리·별!$B$5:$B$8,MATCH(B85,요리·별!$A$5:$A$8,0))*(1-요리·별!$B$11),0)</f>
        <v>135</v>
      </c>
      <c r="L85" s="13">
        <f>ROUND(INDEX(요리·별!$B$5:$B$8,MATCH(B85,요리·별!$A$5:$A$8,0))*(1+요리·별!$B$11),0)</f>
        <v>165</v>
      </c>
      <c r="M85" s="13">
        <f>L85*요리·별!$B$18</f>
        <v>33000</v>
      </c>
      <c r="N85" s="7" t="str">
        <f>IFERROR(INDEX({"일반","고급","희귀","전설"},MAX(IF(D85="",0,MATCH(INDEX(작물!$B$17:$B$71,MATCH(D85,작물!$C$17:$C$71,0)),{"일반","고급","희귀","전설"},0)),IF(F85="",0,MATCH(INDEX(작물!$B$17:$B$71,MATCH(F85,작물!$C$17:$C$71,0)),{"일반","고급","희귀","전설"},0)),IF(H85="",0,MATCH(INDEX(작물!$B$17:$B$71,MATCH(H85,작물!$C$17:$C$71,0)),{"일반","고급","희귀","전설"},0)))),"작물 이름 확인")</f>
        <v>희귀</v>
      </c>
      <c r="O85" s="6" t="str">
        <f t="shared" si="5"/>
        <v>OK</v>
      </c>
    </row>
    <row r="86" spans="1:15">
      <c r="A86" s="11">
        <v>82</v>
      </c>
      <c r="B86" s="4" t="s">
        <v>159</v>
      </c>
      <c r="C86" s="4" t="s">
        <v>470</v>
      </c>
      <c r="D86" s="4" t="s">
        <v>219</v>
      </c>
      <c r="E86" s="10">
        <v>1</v>
      </c>
      <c r="F86" s="4" t="s">
        <v>194</v>
      </c>
      <c r="G86" s="10">
        <v>2</v>
      </c>
      <c r="H86" s="4"/>
      <c r="I86" s="10"/>
      <c r="J86" s="11">
        <f t="shared" si="4"/>
        <v>3</v>
      </c>
      <c r="K86" s="13">
        <f>ROUND(INDEX(요리·별!$B$5:$B$8,MATCH(B86,요리·별!$A$5:$A$8,0))*(1-요리·별!$B$11),0)</f>
        <v>135</v>
      </c>
      <c r="L86" s="13">
        <f>ROUND(INDEX(요리·별!$B$5:$B$8,MATCH(B86,요리·별!$A$5:$A$8,0))*(1+요리·별!$B$11),0)</f>
        <v>165</v>
      </c>
      <c r="M86" s="13">
        <f>L86*요리·별!$B$18</f>
        <v>33000</v>
      </c>
      <c r="N86" s="7" t="str">
        <f>IFERROR(INDEX({"일반","고급","희귀","전설"},MAX(IF(D86="",0,MATCH(INDEX(작물!$B$17:$B$71,MATCH(D86,작물!$C$17:$C$71,0)),{"일반","고급","희귀","전설"},0)),IF(F86="",0,MATCH(INDEX(작물!$B$17:$B$71,MATCH(F86,작물!$C$17:$C$71,0)),{"일반","고급","희귀","전설"},0)),IF(H86="",0,MATCH(INDEX(작물!$B$17:$B$71,MATCH(H86,작물!$C$17:$C$71,0)),{"일반","고급","희귀","전설"},0)))),"작물 이름 확인")</f>
        <v>희귀</v>
      </c>
      <c r="O86" s="6" t="str">
        <f t="shared" si="5"/>
        <v>OK</v>
      </c>
    </row>
    <row r="87" spans="1:15">
      <c r="A87" s="11">
        <v>83</v>
      </c>
      <c r="B87" s="4" t="s">
        <v>159</v>
      </c>
      <c r="C87" s="4" t="s">
        <v>471</v>
      </c>
      <c r="D87" s="4" t="s">
        <v>220</v>
      </c>
      <c r="E87" s="10">
        <v>3</v>
      </c>
      <c r="F87" s="4"/>
      <c r="G87" s="10"/>
      <c r="H87" s="4"/>
      <c r="I87" s="10"/>
      <c r="J87" s="11">
        <f t="shared" si="4"/>
        <v>3</v>
      </c>
      <c r="K87" s="13">
        <f>ROUND(INDEX(요리·별!$B$5:$B$8,MATCH(B87,요리·별!$A$5:$A$8,0))*(1-요리·별!$B$11),0)</f>
        <v>135</v>
      </c>
      <c r="L87" s="13">
        <f>ROUND(INDEX(요리·별!$B$5:$B$8,MATCH(B87,요리·별!$A$5:$A$8,0))*(1+요리·별!$B$11),0)</f>
        <v>165</v>
      </c>
      <c r="M87" s="13">
        <f>L87*요리·별!$B$18</f>
        <v>33000</v>
      </c>
      <c r="N87" s="7" t="str">
        <f>IFERROR(INDEX({"일반","고급","희귀","전설"},MAX(IF(D87="",0,MATCH(INDEX(작물!$B$17:$B$71,MATCH(D87,작물!$C$17:$C$71,0)),{"일반","고급","희귀","전설"},0)),IF(F87="",0,MATCH(INDEX(작물!$B$17:$B$71,MATCH(F87,작물!$C$17:$C$71,0)),{"일반","고급","희귀","전설"},0)),IF(H87="",0,MATCH(INDEX(작물!$B$17:$B$71,MATCH(H87,작물!$C$17:$C$71,0)),{"일반","고급","희귀","전설"},0)))),"작물 이름 확인")</f>
        <v>희귀</v>
      </c>
      <c r="O87" s="6" t="str">
        <f t="shared" si="5"/>
        <v>OK</v>
      </c>
    </row>
    <row r="88" spans="1:15">
      <c r="A88" s="11">
        <v>84</v>
      </c>
      <c r="B88" s="4" t="s">
        <v>159</v>
      </c>
      <c r="C88" s="4" t="s">
        <v>472</v>
      </c>
      <c r="D88" s="4" t="s">
        <v>220</v>
      </c>
      <c r="E88" s="10">
        <v>2</v>
      </c>
      <c r="F88" s="4" t="s">
        <v>219</v>
      </c>
      <c r="G88" s="10">
        <v>1</v>
      </c>
      <c r="H88" s="4"/>
      <c r="I88" s="10"/>
      <c r="J88" s="11">
        <f t="shared" si="4"/>
        <v>3</v>
      </c>
      <c r="K88" s="13">
        <f>ROUND(INDEX(요리·별!$B$5:$B$8,MATCH(B88,요리·별!$A$5:$A$8,0))*(1-요리·별!$B$11),0)</f>
        <v>135</v>
      </c>
      <c r="L88" s="13">
        <f>ROUND(INDEX(요리·별!$B$5:$B$8,MATCH(B88,요리·별!$A$5:$A$8,0))*(1+요리·별!$B$11),0)</f>
        <v>165</v>
      </c>
      <c r="M88" s="13">
        <f>L88*요리·별!$B$18</f>
        <v>33000</v>
      </c>
      <c r="N88" s="7" t="str">
        <f>IFERROR(INDEX({"일반","고급","희귀","전설"},MAX(IF(D88="",0,MATCH(INDEX(작물!$B$17:$B$71,MATCH(D88,작물!$C$17:$C$71,0)),{"일반","고급","희귀","전설"},0)),IF(F88="",0,MATCH(INDEX(작물!$B$17:$B$71,MATCH(F88,작물!$C$17:$C$71,0)),{"일반","고급","희귀","전설"},0)),IF(H88="",0,MATCH(INDEX(작물!$B$17:$B$71,MATCH(H88,작물!$C$17:$C$71,0)),{"일반","고급","희귀","전설"},0)))),"작물 이름 확인")</f>
        <v>희귀</v>
      </c>
      <c r="O88" s="6" t="str">
        <f t="shared" si="5"/>
        <v>OK</v>
      </c>
    </row>
    <row r="89" spans="1:15">
      <c r="A89" s="11">
        <v>85</v>
      </c>
      <c r="B89" s="4" t="s">
        <v>159</v>
      </c>
      <c r="C89" s="4" t="s">
        <v>473</v>
      </c>
      <c r="D89" s="4" t="s">
        <v>221</v>
      </c>
      <c r="E89" s="10">
        <v>1</v>
      </c>
      <c r="F89" s="4" t="s">
        <v>192</v>
      </c>
      <c r="G89" s="10">
        <v>2</v>
      </c>
      <c r="H89" s="4" t="s">
        <v>179</v>
      </c>
      <c r="I89" s="10">
        <v>1</v>
      </c>
      <c r="J89" s="11">
        <f t="shared" si="4"/>
        <v>4</v>
      </c>
      <c r="K89" s="13">
        <f>ROUND(INDEX(요리·별!$B$5:$B$8,MATCH(B89,요리·별!$A$5:$A$8,0))*(1-요리·별!$B$11),0)</f>
        <v>135</v>
      </c>
      <c r="L89" s="13">
        <f>ROUND(INDEX(요리·별!$B$5:$B$8,MATCH(B89,요리·별!$A$5:$A$8,0))*(1+요리·별!$B$11),0)</f>
        <v>165</v>
      </c>
      <c r="M89" s="13">
        <f>L89*요리·별!$B$18</f>
        <v>33000</v>
      </c>
      <c r="N89" s="7" t="str">
        <f>IFERROR(INDEX({"일반","고급","희귀","전설"},MAX(IF(D89="",0,MATCH(INDEX(작물!$B$17:$B$71,MATCH(D89,작물!$C$17:$C$71,0)),{"일반","고급","희귀","전설"},0)),IF(F89="",0,MATCH(INDEX(작물!$B$17:$B$71,MATCH(F89,작물!$C$17:$C$71,0)),{"일반","고급","희귀","전설"},0)),IF(H89="",0,MATCH(INDEX(작물!$B$17:$B$71,MATCH(H89,작물!$C$17:$C$71,0)),{"일반","고급","희귀","전설"},0)))),"작물 이름 확인")</f>
        <v>희귀</v>
      </c>
      <c r="O89" s="6" t="str">
        <f t="shared" si="5"/>
        <v>OK</v>
      </c>
    </row>
    <row r="90" spans="1:15">
      <c r="A90" s="11">
        <v>86</v>
      </c>
      <c r="B90" s="4" t="s">
        <v>159</v>
      </c>
      <c r="C90" s="4" t="s">
        <v>474</v>
      </c>
      <c r="D90" s="4" t="s">
        <v>221</v>
      </c>
      <c r="E90" s="10">
        <v>1</v>
      </c>
      <c r="F90" s="4" t="s">
        <v>191</v>
      </c>
      <c r="G90" s="10">
        <v>2</v>
      </c>
      <c r="H90" s="4" t="s">
        <v>193</v>
      </c>
      <c r="I90" s="10">
        <v>2</v>
      </c>
      <c r="J90" s="11">
        <f t="shared" si="4"/>
        <v>5</v>
      </c>
      <c r="K90" s="13">
        <f>ROUND(INDEX(요리·별!$B$5:$B$8,MATCH(B90,요리·별!$A$5:$A$8,0))*(1-요리·별!$B$11),0)</f>
        <v>135</v>
      </c>
      <c r="L90" s="13">
        <f>ROUND(INDEX(요리·별!$B$5:$B$8,MATCH(B90,요리·별!$A$5:$A$8,0))*(1+요리·별!$B$11),0)</f>
        <v>165</v>
      </c>
      <c r="M90" s="13">
        <f>L90*요리·별!$B$18</f>
        <v>33000</v>
      </c>
      <c r="N90" s="7" t="str">
        <f>IFERROR(INDEX({"일반","고급","희귀","전설"},MAX(IF(D90="",0,MATCH(INDEX(작물!$B$17:$B$71,MATCH(D90,작물!$C$17:$C$71,0)),{"일반","고급","희귀","전설"},0)),IF(F90="",0,MATCH(INDEX(작물!$B$17:$B$71,MATCH(F90,작물!$C$17:$C$71,0)),{"일반","고급","희귀","전설"},0)),IF(H90="",0,MATCH(INDEX(작물!$B$17:$B$71,MATCH(H90,작물!$C$17:$C$71,0)),{"일반","고급","희귀","전설"},0)))),"작물 이름 확인")</f>
        <v>희귀</v>
      </c>
      <c r="O90" s="6" t="str">
        <f t="shared" si="5"/>
        <v>OK</v>
      </c>
    </row>
    <row r="91" spans="1:15">
      <c r="A91" s="11">
        <v>87</v>
      </c>
      <c r="B91" s="4" t="s">
        <v>159</v>
      </c>
      <c r="C91" s="4" t="s">
        <v>475</v>
      </c>
      <c r="D91" s="4" t="s">
        <v>222</v>
      </c>
      <c r="E91" s="10">
        <v>3</v>
      </c>
      <c r="F91" s="4"/>
      <c r="G91" s="10"/>
      <c r="H91" s="4"/>
      <c r="I91" s="10"/>
      <c r="J91" s="11">
        <f t="shared" si="4"/>
        <v>3</v>
      </c>
      <c r="K91" s="13">
        <f>ROUND(INDEX(요리·별!$B$5:$B$8,MATCH(B91,요리·별!$A$5:$A$8,0))*(1-요리·별!$B$11),0)</f>
        <v>135</v>
      </c>
      <c r="L91" s="13">
        <f>ROUND(INDEX(요리·별!$B$5:$B$8,MATCH(B91,요리·별!$A$5:$A$8,0))*(1+요리·별!$B$11),0)</f>
        <v>165</v>
      </c>
      <c r="M91" s="13">
        <f>L91*요리·별!$B$18</f>
        <v>33000</v>
      </c>
      <c r="N91" s="7" t="str">
        <f>IFERROR(INDEX({"일반","고급","희귀","전설"},MAX(IF(D91="",0,MATCH(INDEX(작물!$B$17:$B$71,MATCH(D91,작물!$C$17:$C$71,0)),{"일반","고급","희귀","전설"},0)),IF(F91="",0,MATCH(INDEX(작물!$B$17:$B$71,MATCH(F91,작물!$C$17:$C$71,0)),{"일반","고급","희귀","전설"},0)),IF(H91="",0,MATCH(INDEX(작물!$B$17:$B$71,MATCH(H91,작물!$C$17:$C$71,0)),{"일반","고급","희귀","전설"},0)))),"작물 이름 확인")</f>
        <v>희귀</v>
      </c>
      <c r="O91" s="6" t="str">
        <f t="shared" si="5"/>
        <v>OK</v>
      </c>
    </row>
    <row r="92" spans="1:15">
      <c r="A92" s="11">
        <v>88</v>
      </c>
      <c r="B92" s="4" t="s">
        <v>159</v>
      </c>
      <c r="C92" s="4" t="s">
        <v>476</v>
      </c>
      <c r="D92" s="4" t="s">
        <v>222</v>
      </c>
      <c r="E92" s="10">
        <v>2</v>
      </c>
      <c r="F92" s="4" t="s">
        <v>192</v>
      </c>
      <c r="G92" s="10">
        <v>2</v>
      </c>
      <c r="H92" s="4"/>
      <c r="I92" s="10"/>
      <c r="J92" s="11">
        <f t="shared" si="4"/>
        <v>4</v>
      </c>
      <c r="K92" s="13">
        <f>ROUND(INDEX(요리·별!$B$5:$B$8,MATCH(B92,요리·별!$A$5:$A$8,0))*(1-요리·별!$B$11),0)</f>
        <v>135</v>
      </c>
      <c r="L92" s="13">
        <f>ROUND(INDEX(요리·별!$B$5:$B$8,MATCH(B92,요리·별!$A$5:$A$8,0))*(1+요리·별!$B$11),0)</f>
        <v>165</v>
      </c>
      <c r="M92" s="13">
        <f>L92*요리·별!$B$18</f>
        <v>33000</v>
      </c>
      <c r="N92" s="7" t="str">
        <f>IFERROR(INDEX({"일반","고급","희귀","전설"},MAX(IF(D92="",0,MATCH(INDEX(작물!$B$17:$B$71,MATCH(D92,작물!$C$17:$C$71,0)),{"일반","고급","희귀","전설"},0)),IF(F92="",0,MATCH(INDEX(작물!$B$17:$B$71,MATCH(F92,작물!$C$17:$C$71,0)),{"일반","고급","희귀","전설"},0)),IF(H92="",0,MATCH(INDEX(작물!$B$17:$B$71,MATCH(H92,작물!$C$17:$C$71,0)),{"일반","고급","희귀","전설"},0)))),"작물 이름 확인")</f>
        <v>희귀</v>
      </c>
      <c r="O92" s="6" t="str">
        <f t="shared" si="5"/>
        <v>OK</v>
      </c>
    </row>
    <row r="93" spans="1:15">
      <c r="A93" s="11">
        <v>89</v>
      </c>
      <c r="B93" s="4" t="s">
        <v>159</v>
      </c>
      <c r="C93" s="4" t="s">
        <v>477</v>
      </c>
      <c r="D93" s="4" t="s">
        <v>223</v>
      </c>
      <c r="E93" s="10">
        <v>2</v>
      </c>
      <c r="F93" s="4" t="s">
        <v>204</v>
      </c>
      <c r="G93" s="10">
        <v>1</v>
      </c>
      <c r="H93" s="4"/>
      <c r="I93" s="10"/>
      <c r="J93" s="11">
        <f t="shared" si="4"/>
        <v>3</v>
      </c>
      <c r="K93" s="13">
        <f>ROUND(INDEX(요리·별!$B$5:$B$8,MATCH(B93,요리·별!$A$5:$A$8,0))*(1-요리·별!$B$11),0)</f>
        <v>135</v>
      </c>
      <c r="L93" s="13">
        <f>ROUND(INDEX(요리·별!$B$5:$B$8,MATCH(B93,요리·별!$A$5:$A$8,0))*(1+요리·별!$B$11),0)</f>
        <v>165</v>
      </c>
      <c r="M93" s="13">
        <f>L93*요리·별!$B$18</f>
        <v>33000</v>
      </c>
      <c r="N93" s="7" t="str">
        <f>IFERROR(INDEX({"일반","고급","희귀","전설"},MAX(IF(D93="",0,MATCH(INDEX(작물!$B$17:$B$71,MATCH(D93,작물!$C$17:$C$71,0)),{"일반","고급","희귀","전설"},0)),IF(F93="",0,MATCH(INDEX(작물!$B$17:$B$71,MATCH(F93,작물!$C$17:$C$71,0)),{"일반","고급","희귀","전설"},0)),IF(H93="",0,MATCH(INDEX(작물!$B$17:$B$71,MATCH(H93,작물!$C$17:$C$71,0)),{"일반","고급","희귀","전설"},0)))),"작물 이름 확인")</f>
        <v>희귀</v>
      </c>
      <c r="O93" s="6" t="str">
        <f t="shared" si="5"/>
        <v>OK</v>
      </c>
    </row>
    <row r="94" spans="1:15">
      <c r="A94" s="11">
        <v>90</v>
      </c>
      <c r="B94" s="4" t="s">
        <v>159</v>
      </c>
      <c r="C94" s="4" t="s">
        <v>478</v>
      </c>
      <c r="D94" s="4" t="s">
        <v>223</v>
      </c>
      <c r="E94" s="10">
        <v>1</v>
      </c>
      <c r="F94" s="4" t="s">
        <v>199</v>
      </c>
      <c r="G94" s="10">
        <v>1</v>
      </c>
      <c r="H94" s="4" t="s">
        <v>202</v>
      </c>
      <c r="I94" s="10">
        <v>1</v>
      </c>
      <c r="J94" s="11">
        <f t="shared" si="4"/>
        <v>3</v>
      </c>
      <c r="K94" s="13">
        <f>ROUND(INDEX(요리·별!$B$5:$B$8,MATCH(B94,요리·별!$A$5:$A$8,0))*(1-요리·별!$B$11),0)</f>
        <v>135</v>
      </c>
      <c r="L94" s="13">
        <f>ROUND(INDEX(요리·별!$B$5:$B$8,MATCH(B94,요리·별!$A$5:$A$8,0))*(1+요리·별!$B$11),0)</f>
        <v>165</v>
      </c>
      <c r="M94" s="13">
        <f>L94*요리·별!$B$18</f>
        <v>33000</v>
      </c>
      <c r="N94" s="7" t="str">
        <f>IFERROR(INDEX({"일반","고급","희귀","전설"},MAX(IF(D94="",0,MATCH(INDEX(작물!$B$17:$B$71,MATCH(D94,작물!$C$17:$C$71,0)),{"일반","고급","희귀","전설"},0)),IF(F94="",0,MATCH(INDEX(작물!$B$17:$B$71,MATCH(F94,작물!$C$17:$C$71,0)),{"일반","고급","희귀","전설"},0)),IF(H94="",0,MATCH(INDEX(작물!$B$17:$B$71,MATCH(H94,작물!$C$17:$C$71,0)),{"일반","고급","희귀","전설"},0)))),"작물 이름 확인")</f>
        <v>희귀</v>
      </c>
      <c r="O94" s="6" t="str">
        <f t="shared" si="5"/>
        <v>OK</v>
      </c>
    </row>
    <row r="95" spans="1:15">
      <c r="A95" s="11">
        <v>91</v>
      </c>
      <c r="B95" s="4" t="s">
        <v>160</v>
      </c>
      <c r="C95" s="4" t="s">
        <v>479</v>
      </c>
      <c r="D95" s="4" t="s">
        <v>224</v>
      </c>
      <c r="E95" s="10">
        <v>2</v>
      </c>
      <c r="F95" s="4"/>
      <c r="G95" s="10"/>
      <c r="H95" s="4"/>
      <c r="I95" s="10"/>
      <c r="J95" s="11">
        <f t="shared" si="4"/>
        <v>2</v>
      </c>
      <c r="K95" s="13">
        <f>ROUND(INDEX(요리·별!$B$5:$B$8,MATCH(B95,요리·별!$A$5:$A$8,0))*(1-요리·별!$B$11),0)</f>
        <v>900</v>
      </c>
      <c r="L95" s="13">
        <f>ROUND(INDEX(요리·별!$B$5:$B$8,MATCH(B95,요리·별!$A$5:$A$8,0))*(1+요리·별!$B$11),0)</f>
        <v>1100</v>
      </c>
      <c r="M95" s="13">
        <f>L95*요리·별!$B$18</f>
        <v>220000</v>
      </c>
      <c r="N95" s="7" t="str">
        <f>IFERROR(INDEX({"일반","고급","희귀","전설"},MAX(IF(D95="",0,MATCH(INDEX(작물!$B$17:$B$71,MATCH(D95,작물!$C$17:$C$71,0)),{"일반","고급","희귀","전설"},0)),IF(F95="",0,MATCH(INDEX(작물!$B$17:$B$71,MATCH(F95,작물!$C$17:$C$71,0)),{"일반","고급","희귀","전설"},0)),IF(H95="",0,MATCH(INDEX(작물!$B$17:$B$71,MATCH(H95,작물!$C$17:$C$71,0)),{"일반","고급","희귀","전설"},0)))),"작물 이름 확인")</f>
        <v>전설</v>
      </c>
      <c r="O95" s="6" t="str">
        <f t="shared" si="5"/>
        <v>OK</v>
      </c>
    </row>
    <row r="96" spans="1:15">
      <c r="A96" s="11">
        <v>92</v>
      </c>
      <c r="B96" s="4" t="s">
        <v>160</v>
      </c>
      <c r="C96" s="4" t="s">
        <v>480</v>
      </c>
      <c r="D96" s="4" t="s">
        <v>224</v>
      </c>
      <c r="E96" s="10">
        <v>1</v>
      </c>
      <c r="F96" s="4" t="s">
        <v>192</v>
      </c>
      <c r="G96" s="10">
        <v>2</v>
      </c>
      <c r="H96" s="4" t="s">
        <v>218</v>
      </c>
      <c r="I96" s="10">
        <v>1</v>
      </c>
      <c r="J96" s="11">
        <f t="shared" si="4"/>
        <v>4</v>
      </c>
      <c r="K96" s="13">
        <f>ROUND(INDEX(요리·별!$B$5:$B$8,MATCH(B96,요리·별!$A$5:$A$8,0))*(1-요리·별!$B$11),0)</f>
        <v>900</v>
      </c>
      <c r="L96" s="13">
        <f>ROUND(INDEX(요리·별!$B$5:$B$8,MATCH(B96,요리·별!$A$5:$A$8,0))*(1+요리·별!$B$11),0)</f>
        <v>1100</v>
      </c>
      <c r="M96" s="13">
        <f>L96*요리·별!$B$18</f>
        <v>220000</v>
      </c>
      <c r="N96" s="7" t="str">
        <f>IFERROR(INDEX({"일반","고급","희귀","전설"},MAX(IF(D96="",0,MATCH(INDEX(작물!$B$17:$B$71,MATCH(D96,작물!$C$17:$C$71,0)),{"일반","고급","희귀","전설"},0)),IF(F96="",0,MATCH(INDEX(작물!$B$17:$B$71,MATCH(F96,작물!$C$17:$C$71,0)),{"일반","고급","희귀","전설"},0)),IF(H96="",0,MATCH(INDEX(작물!$B$17:$B$71,MATCH(H96,작물!$C$17:$C$71,0)),{"일반","고급","희귀","전설"},0)))),"작물 이름 확인")</f>
        <v>전설</v>
      </c>
      <c r="O96" s="6" t="str">
        <f t="shared" si="5"/>
        <v>OK</v>
      </c>
    </row>
    <row r="97" spans="1:15">
      <c r="A97" s="11">
        <v>93</v>
      </c>
      <c r="B97" s="4" t="s">
        <v>160</v>
      </c>
      <c r="C97" s="4" t="s">
        <v>481</v>
      </c>
      <c r="D97" s="4" t="s">
        <v>225</v>
      </c>
      <c r="E97" s="10">
        <v>2</v>
      </c>
      <c r="F97" s="4"/>
      <c r="G97" s="10"/>
      <c r="H97" s="4"/>
      <c r="I97" s="10"/>
      <c r="J97" s="11">
        <f t="shared" si="4"/>
        <v>2</v>
      </c>
      <c r="K97" s="13">
        <f>ROUND(INDEX(요리·별!$B$5:$B$8,MATCH(B97,요리·별!$A$5:$A$8,0))*(1-요리·별!$B$11),0)</f>
        <v>900</v>
      </c>
      <c r="L97" s="13">
        <f>ROUND(INDEX(요리·별!$B$5:$B$8,MATCH(B97,요리·별!$A$5:$A$8,0))*(1+요리·별!$B$11),0)</f>
        <v>1100</v>
      </c>
      <c r="M97" s="13">
        <f>L97*요리·별!$B$18</f>
        <v>220000</v>
      </c>
      <c r="N97" s="7" t="str">
        <f>IFERROR(INDEX({"일반","고급","희귀","전설"},MAX(IF(D97="",0,MATCH(INDEX(작물!$B$17:$B$71,MATCH(D97,작물!$C$17:$C$71,0)),{"일반","고급","희귀","전설"},0)),IF(F97="",0,MATCH(INDEX(작물!$B$17:$B$71,MATCH(F97,작물!$C$17:$C$71,0)),{"일반","고급","희귀","전설"},0)),IF(H97="",0,MATCH(INDEX(작물!$B$17:$B$71,MATCH(H97,작물!$C$17:$C$71,0)),{"일반","고급","희귀","전설"},0)))),"작물 이름 확인")</f>
        <v>전설</v>
      </c>
      <c r="O97" s="6" t="str">
        <f t="shared" si="5"/>
        <v>OK</v>
      </c>
    </row>
    <row r="98" spans="1:15">
      <c r="A98" s="11">
        <v>94</v>
      </c>
      <c r="B98" s="4" t="s">
        <v>160</v>
      </c>
      <c r="C98" s="4" t="s">
        <v>482</v>
      </c>
      <c r="D98" s="4" t="s">
        <v>225</v>
      </c>
      <c r="E98" s="10">
        <v>1</v>
      </c>
      <c r="F98" s="4" t="s">
        <v>201</v>
      </c>
      <c r="G98" s="10">
        <v>2</v>
      </c>
      <c r="H98" s="4" t="s">
        <v>193</v>
      </c>
      <c r="I98" s="10">
        <v>1</v>
      </c>
      <c r="J98" s="11">
        <f t="shared" si="4"/>
        <v>4</v>
      </c>
      <c r="K98" s="13">
        <f>ROUND(INDEX(요리·별!$B$5:$B$8,MATCH(B98,요리·별!$A$5:$A$8,0))*(1-요리·별!$B$11),0)</f>
        <v>900</v>
      </c>
      <c r="L98" s="13">
        <f>ROUND(INDEX(요리·별!$B$5:$B$8,MATCH(B98,요리·별!$A$5:$A$8,0))*(1+요리·별!$B$11),0)</f>
        <v>1100</v>
      </c>
      <c r="M98" s="13">
        <f>L98*요리·별!$B$18</f>
        <v>220000</v>
      </c>
      <c r="N98" s="7" t="str">
        <f>IFERROR(INDEX({"일반","고급","희귀","전설"},MAX(IF(D98="",0,MATCH(INDEX(작물!$B$17:$B$71,MATCH(D98,작물!$C$17:$C$71,0)),{"일반","고급","희귀","전설"},0)),IF(F98="",0,MATCH(INDEX(작물!$B$17:$B$71,MATCH(F98,작물!$C$17:$C$71,0)),{"일반","고급","희귀","전설"},0)),IF(H98="",0,MATCH(INDEX(작물!$B$17:$B$71,MATCH(H98,작물!$C$17:$C$71,0)),{"일반","고급","희귀","전설"},0)))),"작물 이름 확인")</f>
        <v>전설</v>
      </c>
      <c r="O98" s="6" t="str">
        <f t="shared" si="5"/>
        <v>OK</v>
      </c>
    </row>
    <row r="99" spans="1:15">
      <c r="A99" s="11">
        <v>95</v>
      </c>
      <c r="B99" s="4" t="s">
        <v>160</v>
      </c>
      <c r="C99" s="4" t="s">
        <v>483</v>
      </c>
      <c r="D99" s="4" t="s">
        <v>226</v>
      </c>
      <c r="E99" s="10">
        <v>1</v>
      </c>
      <c r="F99" s="4" t="s">
        <v>215</v>
      </c>
      <c r="G99" s="10">
        <v>1</v>
      </c>
      <c r="H99" s="4" t="s">
        <v>210</v>
      </c>
      <c r="I99" s="10">
        <v>1</v>
      </c>
      <c r="J99" s="11">
        <f t="shared" si="4"/>
        <v>3</v>
      </c>
      <c r="K99" s="13">
        <f>ROUND(INDEX(요리·별!$B$5:$B$8,MATCH(B99,요리·별!$A$5:$A$8,0))*(1-요리·별!$B$11),0)</f>
        <v>900</v>
      </c>
      <c r="L99" s="13">
        <f>ROUND(INDEX(요리·별!$B$5:$B$8,MATCH(B99,요리·별!$A$5:$A$8,0))*(1+요리·별!$B$11),0)</f>
        <v>1100</v>
      </c>
      <c r="M99" s="13">
        <f>L99*요리·별!$B$18</f>
        <v>220000</v>
      </c>
      <c r="N99" s="7" t="str">
        <f>IFERROR(INDEX({"일반","고급","희귀","전설"},MAX(IF(D99="",0,MATCH(INDEX(작물!$B$17:$B$71,MATCH(D99,작물!$C$17:$C$71,0)),{"일반","고급","희귀","전설"},0)),IF(F99="",0,MATCH(INDEX(작물!$B$17:$B$71,MATCH(F99,작물!$C$17:$C$71,0)),{"일반","고급","희귀","전설"},0)),IF(H99="",0,MATCH(INDEX(작물!$B$17:$B$71,MATCH(H99,작물!$C$17:$C$71,0)),{"일반","고급","희귀","전설"},0)))),"작물 이름 확인")</f>
        <v>전설</v>
      </c>
      <c r="O99" s="6" t="str">
        <f t="shared" si="5"/>
        <v>OK</v>
      </c>
    </row>
    <row r="100" spans="1:15">
      <c r="A100" s="11">
        <v>96</v>
      </c>
      <c r="B100" s="4" t="s">
        <v>160</v>
      </c>
      <c r="C100" s="4" t="s">
        <v>484</v>
      </c>
      <c r="D100" s="4" t="s">
        <v>226</v>
      </c>
      <c r="E100" s="10">
        <v>1</v>
      </c>
      <c r="F100" s="4" t="s">
        <v>216</v>
      </c>
      <c r="G100" s="10">
        <v>1</v>
      </c>
      <c r="H100" s="4" t="s">
        <v>191</v>
      </c>
      <c r="I100" s="10">
        <v>2</v>
      </c>
      <c r="J100" s="11">
        <f t="shared" si="4"/>
        <v>4</v>
      </c>
      <c r="K100" s="13">
        <f>ROUND(INDEX(요리·별!$B$5:$B$8,MATCH(B100,요리·별!$A$5:$A$8,0))*(1-요리·별!$B$11),0)</f>
        <v>900</v>
      </c>
      <c r="L100" s="13">
        <f>ROUND(INDEX(요리·별!$B$5:$B$8,MATCH(B100,요리·별!$A$5:$A$8,0))*(1+요리·별!$B$11),0)</f>
        <v>1100</v>
      </c>
      <c r="M100" s="13">
        <f>L100*요리·별!$B$18</f>
        <v>220000</v>
      </c>
      <c r="N100" s="7" t="str">
        <f>IFERROR(INDEX({"일반","고급","희귀","전설"},MAX(IF(D100="",0,MATCH(INDEX(작물!$B$17:$B$71,MATCH(D100,작물!$C$17:$C$71,0)),{"일반","고급","희귀","전설"},0)),IF(F100="",0,MATCH(INDEX(작물!$B$17:$B$71,MATCH(F100,작물!$C$17:$C$71,0)),{"일반","고급","희귀","전설"},0)),IF(H100="",0,MATCH(INDEX(작물!$B$17:$B$71,MATCH(H100,작물!$C$17:$C$71,0)),{"일반","고급","희귀","전설"},0)))),"작물 이름 확인")</f>
        <v>전설</v>
      </c>
      <c r="O100" s="6" t="str">
        <f t="shared" si="5"/>
        <v>OK</v>
      </c>
    </row>
    <row r="101" spans="1:15">
      <c r="A101" s="11">
        <v>97</v>
      </c>
      <c r="B101" s="4" t="s">
        <v>160</v>
      </c>
      <c r="C101" s="4" t="s">
        <v>485</v>
      </c>
      <c r="D101" s="4" t="s">
        <v>227</v>
      </c>
      <c r="E101" s="10">
        <v>2</v>
      </c>
      <c r="F101" s="4"/>
      <c r="G101" s="10"/>
      <c r="H101" s="4"/>
      <c r="I101" s="10"/>
      <c r="J101" s="11">
        <f t="shared" ref="J101:J132" si="6">SUM(E101,G101,I101)</f>
        <v>2</v>
      </c>
      <c r="K101" s="13">
        <f>ROUND(INDEX(요리·별!$B$5:$B$8,MATCH(B101,요리·별!$A$5:$A$8,0))*(1-요리·별!$B$11),0)</f>
        <v>900</v>
      </c>
      <c r="L101" s="13">
        <f>ROUND(INDEX(요리·별!$B$5:$B$8,MATCH(B101,요리·별!$A$5:$A$8,0))*(1+요리·별!$B$11),0)</f>
        <v>1100</v>
      </c>
      <c r="M101" s="13">
        <f>L101*요리·별!$B$18</f>
        <v>220000</v>
      </c>
      <c r="N101" s="7" t="str">
        <f>IFERROR(INDEX({"일반","고급","희귀","전설"},MAX(IF(D101="",0,MATCH(INDEX(작물!$B$17:$B$71,MATCH(D101,작물!$C$17:$C$71,0)),{"일반","고급","희귀","전설"},0)),IF(F101="",0,MATCH(INDEX(작물!$B$17:$B$71,MATCH(F101,작물!$C$17:$C$71,0)),{"일반","고급","희귀","전설"},0)),IF(H101="",0,MATCH(INDEX(작물!$B$17:$B$71,MATCH(H101,작물!$C$17:$C$71,0)),{"일반","고급","희귀","전설"},0)))),"작물 이름 확인")</f>
        <v>전설</v>
      </c>
      <c r="O101" s="6" t="str">
        <f t="shared" ref="O101:O132" si="7">IF(N101="작물 이름 확인",N101,IF(MAX(E101,G101,I101)&gt;3,"같은 재료 3개 넘음",IF(N101=B101,"OK","등급 다름")))</f>
        <v>OK</v>
      </c>
    </row>
    <row r="102" spans="1:15">
      <c r="A102" s="11">
        <v>98</v>
      </c>
      <c r="B102" s="4" t="s">
        <v>160</v>
      </c>
      <c r="C102" s="4" t="s">
        <v>486</v>
      </c>
      <c r="D102" s="4" t="s">
        <v>227</v>
      </c>
      <c r="E102" s="10">
        <v>1</v>
      </c>
      <c r="F102" s="4" t="s">
        <v>190</v>
      </c>
      <c r="G102" s="10">
        <v>2</v>
      </c>
      <c r="H102" s="4" t="s">
        <v>178</v>
      </c>
      <c r="I102" s="10">
        <v>1</v>
      </c>
      <c r="J102" s="11">
        <f t="shared" si="6"/>
        <v>4</v>
      </c>
      <c r="K102" s="13">
        <f>ROUND(INDEX(요리·별!$B$5:$B$8,MATCH(B102,요리·별!$A$5:$A$8,0))*(1-요리·별!$B$11),0)</f>
        <v>900</v>
      </c>
      <c r="L102" s="13">
        <f>ROUND(INDEX(요리·별!$B$5:$B$8,MATCH(B102,요리·별!$A$5:$A$8,0))*(1+요리·별!$B$11),0)</f>
        <v>1100</v>
      </c>
      <c r="M102" s="13">
        <f>L102*요리·별!$B$18</f>
        <v>220000</v>
      </c>
      <c r="N102" s="7" t="str">
        <f>IFERROR(INDEX({"일반","고급","희귀","전설"},MAX(IF(D102="",0,MATCH(INDEX(작물!$B$17:$B$71,MATCH(D102,작물!$C$17:$C$71,0)),{"일반","고급","희귀","전설"},0)),IF(F102="",0,MATCH(INDEX(작물!$B$17:$B$71,MATCH(F102,작물!$C$17:$C$71,0)),{"일반","고급","희귀","전설"},0)),IF(H102="",0,MATCH(INDEX(작물!$B$17:$B$71,MATCH(H102,작물!$C$17:$C$71,0)),{"일반","고급","희귀","전설"},0)))),"작물 이름 확인")</f>
        <v>전설</v>
      </c>
      <c r="O102" s="6" t="str">
        <f t="shared" si="7"/>
        <v>OK</v>
      </c>
    </row>
    <row r="103" spans="1:15">
      <c r="A103" s="11">
        <v>99</v>
      </c>
      <c r="B103" s="4" t="s">
        <v>160</v>
      </c>
      <c r="C103" s="4" t="s">
        <v>487</v>
      </c>
      <c r="D103" s="4" t="s">
        <v>228</v>
      </c>
      <c r="E103" s="10">
        <v>1</v>
      </c>
      <c r="F103" s="4" t="s">
        <v>191</v>
      </c>
      <c r="G103" s="10">
        <v>2</v>
      </c>
      <c r="H103" s="4" t="s">
        <v>179</v>
      </c>
      <c r="I103" s="10">
        <v>1</v>
      </c>
      <c r="J103" s="11">
        <f t="shared" si="6"/>
        <v>4</v>
      </c>
      <c r="K103" s="13">
        <f>ROUND(INDEX(요리·별!$B$5:$B$8,MATCH(B103,요리·별!$A$5:$A$8,0))*(1-요리·별!$B$11),0)</f>
        <v>900</v>
      </c>
      <c r="L103" s="13">
        <f>ROUND(INDEX(요리·별!$B$5:$B$8,MATCH(B103,요리·별!$A$5:$A$8,0))*(1+요리·별!$B$11),0)</f>
        <v>1100</v>
      </c>
      <c r="M103" s="13">
        <f>L103*요리·별!$B$18</f>
        <v>220000</v>
      </c>
      <c r="N103" s="7" t="str">
        <f>IFERROR(INDEX({"일반","고급","희귀","전설"},MAX(IF(D103="",0,MATCH(INDEX(작물!$B$17:$B$71,MATCH(D103,작물!$C$17:$C$71,0)),{"일반","고급","희귀","전설"},0)),IF(F103="",0,MATCH(INDEX(작물!$B$17:$B$71,MATCH(F103,작물!$C$17:$C$71,0)),{"일반","고급","희귀","전설"},0)),IF(H103="",0,MATCH(INDEX(작물!$B$17:$B$71,MATCH(H103,작물!$C$17:$C$71,0)),{"일반","고급","희귀","전설"},0)))),"작물 이름 확인")</f>
        <v>전설</v>
      </c>
      <c r="O103" s="6" t="str">
        <f t="shared" si="7"/>
        <v>OK</v>
      </c>
    </row>
    <row r="104" spans="1:15">
      <c r="A104" s="11">
        <v>100</v>
      </c>
      <c r="B104" s="4" t="s">
        <v>160</v>
      </c>
      <c r="C104" s="4" t="s">
        <v>488</v>
      </c>
      <c r="D104" s="4" t="s">
        <v>228</v>
      </c>
      <c r="E104" s="10">
        <v>1</v>
      </c>
      <c r="F104" s="4" t="s">
        <v>174</v>
      </c>
      <c r="G104" s="10">
        <v>2</v>
      </c>
      <c r="H104" s="4" t="s">
        <v>176</v>
      </c>
      <c r="I104" s="10">
        <v>1</v>
      </c>
      <c r="J104" s="11">
        <f t="shared" si="6"/>
        <v>4</v>
      </c>
      <c r="K104" s="13">
        <f>ROUND(INDEX(요리·별!$B$5:$B$8,MATCH(B104,요리·별!$A$5:$A$8,0))*(1-요리·별!$B$11),0)</f>
        <v>900</v>
      </c>
      <c r="L104" s="13">
        <f>ROUND(INDEX(요리·별!$B$5:$B$8,MATCH(B104,요리·별!$A$5:$A$8,0))*(1+요리·별!$B$11),0)</f>
        <v>1100</v>
      </c>
      <c r="M104" s="13">
        <f>L104*요리·별!$B$18</f>
        <v>220000</v>
      </c>
      <c r="N104" s="7" t="str">
        <f>IFERROR(INDEX({"일반","고급","희귀","전설"},MAX(IF(D104="",0,MATCH(INDEX(작물!$B$17:$B$71,MATCH(D104,작물!$C$17:$C$71,0)),{"일반","고급","희귀","전설"},0)),IF(F104="",0,MATCH(INDEX(작물!$B$17:$B$71,MATCH(F104,작물!$C$17:$C$71,0)),{"일반","고급","희귀","전설"},0)),IF(H104="",0,MATCH(INDEX(작물!$B$17:$B$71,MATCH(H104,작물!$C$17:$C$71,0)),{"일반","고급","희귀","전설"},0)))),"작물 이름 확인")</f>
        <v>전설</v>
      </c>
      <c r="O104" s="6" t="str">
        <f t="shared" si="7"/>
        <v>OK</v>
      </c>
    </row>
    <row r="106" spans="1:15">
      <c r="A106" s="6" t="s">
        <v>489</v>
      </c>
      <c r="O106" s="6" t="str">
        <f>IF(COUNTIF(O5:O104,"OK")=100,"모두 OK",100-COUNTIF(O5:O104,"OK")&amp;"개 확인")</f>
        <v>모두 OK</v>
      </c>
    </row>
    <row r="107" spans="1:15">
      <c r="A107" s="2" t="s">
        <v>490</v>
      </c>
    </row>
  </sheetData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2"/>
  <sheetViews>
    <sheetView showGridLines="0" workbookViewId="0"/>
  </sheetViews>
  <sheetFormatPr defaultRowHeight="16.5"/>
  <cols>
    <col min="1" max="1" width="40" customWidth="1"/>
    <col min="2" max="2" width="52" customWidth="1"/>
    <col min="3" max="6" width="12" customWidth="1"/>
    <col min="7" max="7" width="14" customWidth="1"/>
  </cols>
  <sheetData>
    <row r="1" spans="1:6" ht="20.25">
      <c r="A1" s="1" t="s">
        <v>491</v>
      </c>
    </row>
    <row r="2" spans="1:6">
      <c r="A2" s="2" t="s">
        <v>492</v>
      </c>
    </row>
    <row r="4" spans="1:6">
      <c r="A4" s="8" t="s">
        <v>493</v>
      </c>
      <c r="B4" s="8" t="s">
        <v>494</v>
      </c>
      <c r="C4" s="8" t="s">
        <v>495</v>
      </c>
    </row>
    <row r="5" spans="1:6">
      <c r="A5" s="4" t="s">
        <v>79</v>
      </c>
      <c r="B5" s="4" t="s">
        <v>496</v>
      </c>
      <c r="C5" s="4" t="s">
        <v>497</v>
      </c>
    </row>
    <row r="6" spans="1:6">
      <c r="A6" s="4" t="s">
        <v>498</v>
      </c>
      <c r="B6" s="4" t="s">
        <v>499</v>
      </c>
      <c r="C6" s="4" t="s">
        <v>500</v>
      </c>
    </row>
    <row r="7" spans="1:6">
      <c r="A7" s="4" t="s">
        <v>501</v>
      </c>
      <c r="B7" s="4" t="s">
        <v>502</v>
      </c>
      <c r="C7" s="4" t="s">
        <v>503</v>
      </c>
    </row>
    <row r="8" spans="1:6">
      <c r="A8" s="4" t="s">
        <v>275</v>
      </c>
      <c r="B8" s="4" t="s">
        <v>504</v>
      </c>
      <c r="C8" s="4" t="s">
        <v>505</v>
      </c>
    </row>
    <row r="10" spans="1:6" ht="27">
      <c r="A10" s="8" t="s">
        <v>499</v>
      </c>
      <c r="B10" s="8" t="s">
        <v>506</v>
      </c>
      <c r="C10" s="8" t="s">
        <v>507</v>
      </c>
      <c r="D10" s="8" t="s">
        <v>508</v>
      </c>
      <c r="E10" s="8" t="s">
        <v>509</v>
      </c>
      <c r="F10" s="8" t="s">
        <v>510</v>
      </c>
    </row>
    <row r="11" spans="1:6">
      <c r="A11" s="6" t="s">
        <v>119</v>
      </c>
      <c r="B11" s="10">
        <v>1</v>
      </c>
      <c r="C11" s="12">
        <f>탐험!$B$44</f>
        <v>102.64319999999999</v>
      </c>
      <c r="D11" s="11">
        <f>B11*C11</f>
        <v>102.64319999999999</v>
      </c>
      <c r="E11" s="12">
        <f>탐험!$D$44</f>
        <v>171.072</v>
      </c>
      <c r="F11" s="11">
        <f>B11*E11</f>
        <v>171.072</v>
      </c>
    </row>
    <row r="12" spans="1:6">
      <c r="A12" s="6" t="s">
        <v>120</v>
      </c>
      <c r="B12" s="10">
        <v>3</v>
      </c>
      <c r="C12" s="12">
        <f>탐험!$B$45</f>
        <v>51.321599999999997</v>
      </c>
      <c r="D12" s="11">
        <f>B12*C12</f>
        <v>153.9648</v>
      </c>
      <c r="E12" s="12">
        <f>탐험!$D$45</f>
        <v>85.536000000000001</v>
      </c>
      <c r="F12" s="11">
        <f>B12*E12</f>
        <v>256.608</v>
      </c>
    </row>
    <row r="13" spans="1:6">
      <c r="A13" s="6" t="s">
        <v>121</v>
      </c>
      <c r="B13" s="10">
        <v>15</v>
      </c>
      <c r="C13" s="12">
        <f>탐험!$B$46</f>
        <v>11.547359999999998</v>
      </c>
      <c r="D13" s="11">
        <f>B13*C13</f>
        <v>173.21039999999996</v>
      </c>
      <c r="E13" s="12">
        <f>탐험!$D$46</f>
        <v>19.245599999999996</v>
      </c>
      <c r="F13" s="11">
        <f>B13*E13</f>
        <v>288.68399999999997</v>
      </c>
    </row>
    <row r="14" spans="1:6">
      <c r="A14" s="6" t="s">
        <v>122</v>
      </c>
      <c r="B14" s="10">
        <v>100</v>
      </c>
      <c r="C14" s="12">
        <f>탐험!$B$47</f>
        <v>0.64151999999999998</v>
      </c>
      <c r="D14" s="11">
        <f>B14*C14</f>
        <v>64.152000000000001</v>
      </c>
      <c r="E14" s="12">
        <f>탐험!$D$47</f>
        <v>1.0691999999999999</v>
      </c>
      <c r="F14" s="11">
        <f>B14*E14</f>
        <v>106.91999999999999</v>
      </c>
    </row>
    <row r="15" spans="1:6">
      <c r="A15" s="6" t="s">
        <v>511</v>
      </c>
      <c r="D15" s="11">
        <f>SUM(D11:D14)</f>
        <v>493.97039999999998</v>
      </c>
      <c r="F15" s="11">
        <f>SUM(F11:F14)</f>
        <v>823.28399999999999</v>
      </c>
    </row>
    <row r="16" spans="1:6">
      <c r="A16" s="2" t="s">
        <v>512</v>
      </c>
    </row>
    <row r="18" spans="1:5">
      <c r="A18" s="8" t="s">
        <v>502</v>
      </c>
      <c r="B18" s="8" t="s">
        <v>513</v>
      </c>
      <c r="C18" s="8" t="s">
        <v>514</v>
      </c>
    </row>
    <row r="19" spans="1:5">
      <c r="A19" s="6" t="s">
        <v>515</v>
      </c>
      <c r="B19" s="10">
        <v>2</v>
      </c>
      <c r="C19" s="27">
        <f>장신구!$B$11</f>
        <v>0.6</v>
      </c>
    </row>
    <row r="20" spans="1:5">
      <c r="A20" s="6" t="s">
        <v>516</v>
      </c>
      <c r="B20" s="10">
        <v>5</v>
      </c>
      <c r="C20" s="27">
        <f>장신구!$B$12</f>
        <v>0.3</v>
      </c>
    </row>
    <row r="21" spans="1:5">
      <c r="A21" s="6" t="s">
        <v>517</v>
      </c>
      <c r="B21" s="10">
        <v>20</v>
      </c>
      <c r="C21" s="27">
        <f>장신구!$B$13</f>
        <v>0.09</v>
      </c>
    </row>
    <row r="22" spans="1:5">
      <c r="A22" s="6" t="s">
        <v>518</v>
      </c>
      <c r="B22" s="10">
        <v>50</v>
      </c>
      <c r="C22" s="27">
        <f>장신구!$B$14</f>
        <v>0.01</v>
      </c>
    </row>
    <row r="23" spans="1:5">
      <c r="A23" s="6" t="s">
        <v>519</v>
      </c>
      <c r="B23" s="10">
        <v>1</v>
      </c>
    </row>
    <row r="24" spans="1:5">
      <c r="A24" s="6" t="s">
        <v>520</v>
      </c>
      <c r="B24" s="16">
        <f>SUMPRODUCT(B19:B22,C19:C22)</f>
        <v>5</v>
      </c>
    </row>
    <row r="25" spans="1:5">
      <c r="A25" s="6" t="s">
        <v>521</v>
      </c>
      <c r="B25" s="12">
        <f>B23+장신구!$B$8*B24</f>
        <v>4</v>
      </c>
    </row>
    <row r="26" spans="1:5">
      <c r="A26" s="6" t="s">
        <v>522</v>
      </c>
      <c r="B26" s="16">
        <f>B23+B22+B24</f>
        <v>56</v>
      </c>
    </row>
    <row r="27" spans="1:5">
      <c r="A27" s="6" t="s">
        <v>523</v>
      </c>
      <c r="B27" s="12">
        <f>탐험!$B$50*B25+탐험!$B$52*B26</f>
        <v>34.415999999999997</v>
      </c>
    </row>
    <row r="28" spans="1:5">
      <c r="A28" s="6" t="s">
        <v>524</v>
      </c>
      <c r="B28" s="12">
        <f>탐험!$D$50*B25+탐험!$D$52*B26</f>
        <v>57.36</v>
      </c>
    </row>
    <row r="29" spans="1:5">
      <c r="A29" s="2" t="s">
        <v>525</v>
      </c>
    </row>
    <row r="31" spans="1:5">
      <c r="A31" s="8" t="s">
        <v>497</v>
      </c>
      <c r="B31" s="8" t="s">
        <v>273</v>
      </c>
      <c r="C31" s="8" t="s">
        <v>526</v>
      </c>
      <c r="D31" s="8" t="s">
        <v>527</v>
      </c>
      <c r="E31" s="8" t="s">
        <v>528</v>
      </c>
    </row>
    <row r="32" spans="1:5">
      <c r="A32" s="4" t="s">
        <v>529</v>
      </c>
      <c r="B32" s="4" t="s">
        <v>530</v>
      </c>
      <c r="C32" s="10">
        <v>6</v>
      </c>
      <c r="D32" s="10">
        <v>3</v>
      </c>
      <c r="E32" s="11">
        <f>C32*D32</f>
        <v>18</v>
      </c>
    </row>
    <row r="33" spans="1:7">
      <c r="A33" s="4" t="s">
        <v>531</v>
      </c>
      <c r="B33" s="4" t="s">
        <v>532</v>
      </c>
      <c r="C33" s="10">
        <v>2</v>
      </c>
      <c r="D33" s="10">
        <v>3</v>
      </c>
      <c r="E33" s="11">
        <f>C33*D33</f>
        <v>6</v>
      </c>
    </row>
    <row r="34" spans="1:7">
      <c r="A34" s="6" t="s">
        <v>533</v>
      </c>
      <c r="E34" s="11">
        <f>SUM(E32:E33)</f>
        <v>24</v>
      </c>
    </row>
    <row r="35" spans="1:7">
      <c r="A35" s="6" t="s">
        <v>534</v>
      </c>
      <c r="E35" s="13">
        <f>NP·시즌!$B$17+탐험!$B$53</f>
        <v>53.820408163265313</v>
      </c>
    </row>
    <row r="36" spans="1:7">
      <c r="A36" s="6" t="s">
        <v>535</v>
      </c>
      <c r="E36" s="11">
        <f>E35-E34</f>
        <v>29.820408163265313</v>
      </c>
    </row>
    <row r="38" spans="1:7">
      <c r="A38" s="3" t="s">
        <v>536</v>
      </c>
    </row>
    <row r="39" spans="1:7">
      <c r="A39" s="6" t="s">
        <v>537</v>
      </c>
      <c r="B39" s="10">
        <v>2</v>
      </c>
    </row>
    <row r="40" spans="1:7">
      <c r="A40" s="6" t="s">
        <v>538</v>
      </c>
      <c r="B40" s="10">
        <v>10</v>
      </c>
    </row>
    <row r="42" spans="1:7">
      <c r="A42" s="8" t="s">
        <v>539</v>
      </c>
      <c r="B42" s="8" t="s">
        <v>273</v>
      </c>
      <c r="C42" s="8" t="s">
        <v>501</v>
      </c>
      <c r="D42" s="8" t="s">
        <v>498</v>
      </c>
      <c r="E42" s="8" t="s">
        <v>527</v>
      </c>
      <c r="F42" s="8" t="s">
        <v>540</v>
      </c>
      <c r="G42" s="8" t="s">
        <v>541</v>
      </c>
    </row>
    <row r="43" spans="1:7">
      <c r="A43" s="4" t="s">
        <v>542</v>
      </c>
      <c r="B43" s="4" t="s">
        <v>543</v>
      </c>
      <c r="C43" s="10">
        <v>6</v>
      </c>
      <c r="D43" s="11">
        <f t="shared" ref="D43:D49" si="0">C43*$B$40</f>
        <v>60</v>
      </c>
      <c r="E43" s="10">
        <v>3</v>
      </c>
      <c r="F43" s="11">
        <f t="shared" ref="F43:F49" si="1">C43*E43</f>
        <v>18</v>
      </c>
      <c r="G43" s="6" t="s">
        <v>292</v>
      </c>
    </row>
    <row r="44" spans="1:7">
      <c r="A44" s="4" t="s">
        <v>544</v>
      </c>
      <c r="B44" s="4" t="s">
        <v>545</v>
      </c>
      <c r="C44" s="10">
        <v>8</v>
      </c>
      <c r="D44" s="11">
        <f t="shared" si="0"/>
        <v>80</v>
      </c>
      <c r="E44" s="10">
        <v>3</v>
      </c>
      <c r="F44" s="11">
        <f t="shared" si="1"/>
        <v>24</v>
      </c>
      <c r="G44" s="6" t="s">
        <v>292</v>
      </c>
    </row>
    <row r="45" spans="1:7">
      <c r="A45" s="4" t="s">
        <v>546</v>
      </c>
      <c r="B45" s="4" t="s">
        <v>547</v>
      </c>
      <c r="C45" s="10">
        <v>16</v>
      </c>
      <c r="D45" s="11">
        <f t="shared" si="0"/>
        <v>160</v>
      </c>
      <c r="E45" s="10">
        <v>2</v>
      </c>
      <c r="F45" s="11">
        <f t="shared" si="1"/>
        <v>32</v>
      </c>
      <c r="G45" s="6" t="s">
        <v>292</v>
      </c>
    </row>
    <row r="46" spans="1:7">
      <c r="A46" s="4" t="s">
        <v>548</v>
      </c>
      <c r="B46" s="4" t="s">
        <v>549</v>
      </c>
      <c r="C46" s="10">
        <v>12</v>
      </c>
      <c r="D46" s="11">
        <f t="shared" si="0"/>
        <v>120</v>
      </c>
      <c r="E46" s="10">
        <v>2</v>
      </c>
      <c r="F46" s="11">
        <f t="shared" si="1"/>
        <v>24</v>
      </c>
      <c r="G46" s="6" t="str">
        <f>10*B12&amp;" SP"</f>
        <v>30 SP</v>
      </c>
    </row>
    <row r="47" spans="1:7">
      <c r="A47" s="4" t="s">
        <v>550</v>
      </c>
      <c r="B47" s="4" t="s">
        <v>551</v>
      </c>
      <c r="C47" s="10">
        <v>30</v>
      </c>
      <c r="D47" s="11">
        <f t="shared" si="0"/>
        <v>300</v>
      </c>
      <c r="E47" s="10">
        <v>2</v>
      </c>
      <c r="F47" s="11">
        <f t="shared" si="1"/>
        <v>60</v>
      </c>
      <c r="G47" s="6" t="str">
        <f>5*B13&amp;" SP"</f>
        <v>75 SP</v>
      </c>
    </row>
    <row r="48" spans="1:7">
      <c r="A48" s="4" t="s">
        <v>552</v>
      </c>
      <c r="B48" s="4" t="s">
        <v>553</v>
      </c>
      <c r="C48" s="10">
        <v>20</v>
      </c>
      <c r="D48" s="11">
        <f t="shared" si="0"/>
        <v>200</v>
      </c>
      <c r="E48" s="10">
        <v>2</v>
      </c>
      <c r="F48" s="11">
        <f t="shared" si="1"/>
        <v>40</v>
      </c>
      <c r="G48" s="6" t="str">
        <f>TEXT(B23+1.2*B24,"0.0")&amp;" AP"</f>
        <v>7.0 AP</v>
      </c>
    </row>
    <row r="49" spans="1:7">
      <c r="A49" s="4" t="s">
        <v>554</v>
      </c>
      <c r="B49" s="4" t="s">
        <v>555</v>
      </c>
      <c r="C49" s="10">
        <v>40</v>
      </c>
      <c r="D49" s="11">
        <f t="shared" si="0"/>
        <v>400</v>
      </c>
      <c r="E49" s="10">
        <v>1</v>
      </c>
      <c r="F49" s="11">
        <f t="shared" si="1"/>
        <v>40</v>
      </c>
      <c r="G49" s="6" t="str">
        <f>TEXT(B23+2*B24,"0.0")&amp;" AP"</f>
        <v>11.0 AP</v>
      </c>
    </row>
    <row r="50" spans="1:7">
      <c r="A50" s="6" t="s">
        <v>556</v>
      </c>
      <c r="F50" s="11">
        <f>AVERAGE(F43:F49)*B39</f>
        <v>68</v>
      </c>
    </row>
    <row r="51" spans="1:7">
      <c r="A51" s="6" t="s">
        <v>557</v>
      </c>
      <c r="F51" s="11">
        <f>F50*B40</f>
        <v>680</v>
      </c>
    </row>
    <row r="52" spans="1:7">
      <c r="A52" s="2" t="s">
        <v>558</v>
      </c>
    </row>
  </sheetData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2"/>
  <sheetViews>
    <sheetView showGridLines="0" workbookViewId="0"/>
  </sheetViews>
  <sheetFormatPr defaultRowHeight="16.5"/>
  <cols>
    <col min="1" max="1" width="30" customWidth="1"/>
    <col min="2" max="2" width="14" customWidth="1"/>
    <col min="3" max="3" width="52" customWidth="1"/>
    <col min="4" max="9" width="9" customWidth="1"/>
    <col min="10" max="10" width="8" customWidth="1"/>
    <col min="11" max="11" width="16" customWidth="1"/>
    <col min="12" max="12" width="10" customWidth="1"/>
  </cols>
  <sheetData>
    <row r="1" spans="1:2" ht="20.25">
      <c r="A1" s="1" t="s">
        <v>74</v>
      </c>
    </row>
    <row r="2" spans="1:2">
      <c r="A2" s="2" t="s">
        <v>559</v>
      </c>
    </row>
    <row r="4" spans="1:2">
      <c r="A4" s="8" t="s">
        <v>560</v>
      </c>
      <c r="B4" s="8" t="s">
        <v>107</v>
      </c>
    </row>
    <row r="5" spans="1:2">
      <c r="A5" s="28">
        <v>0</v>
      </c>
      <c r="B5" s="14">
        <v>0.5</v>
      </c>
    </row>
    <row r="6" spans="1:2">
      <c r="A6" s="28">
        <v>1</v>
      </c>
      <c r="B6" s="14">
        <v>0.4</v>
      </c>
    </row>
    <row r="7" spans="1:2">
      <c r="A7" s="28">
        <v>2</v>
      </c>
      <c r="B7" s="14">
        <v>0.1</v>
      </c>
    </row>
    <row r="8" spans="1:2">
      <c r="A8" s="6" t="s">
        <v>561</v>
      </c>
      <c r="B8" s="29">
        <f>SUMPRODUCT(A5:A7,B5:B7)</f>
        <v>0.60000000000000009</v>
      </c>
    </row>
    <row r="10" spans="1:2">
      <c r="A10" s="8" t="s">
        <v>562</v>
      </c>
      <c r="B10" s="8" t="s">
        <v>107</v>
      </c>
    </row>
    <row r="11" spans="1:2">
      <c r="A11" s="6" t="s">
        <v>157</v>
      </c>
      <c r="B11" s="14">
        <v>0.6</v>
      </c>
    </row>
    <row r="12" spans="1:2">
      <c r="A12" s="6" t="s">
        <v>158</v>
      </c>
      <c r="B12" s="14">
        <v>0.3</v>
      </c>
    </row>
    <row r="13" spans="1:2">
      <c r="A13" s="6" t="s">
        <v>159</v>
      </c>
      <c r="B13" s="14">
        <v>0.09</v>
      </c>
    </row>
    <row r="14" spans="1:2">
      <c r="A14" s="6" t="s">
        <v>160</v>
      </c>
      <c r="B14" s="14">
        <v>0.01</v>
      </c>
    </row>
    <row r="15" spans="1:2">
      <c r="A15" s="6" t="s">
        <v>161</v>
      </c>
      <c r="B15" s="15">
        <f>SUM(B11:B14)</f>
        <v>0.99999999999999989</v>
      </c>
    </row>
    <row r="17" spans="1:12">
      <c r="A17" s="8" t="s">
        <v>563</v>
      </c>
      <c r="B17" s="8" t="s">
        <v>101</v>
      </c>
    </row>
    <row r="18" spans="1:12">
      <c r="A18" s="6" t="s">
        <v>564</v>
      </c>
      <c r="B18" s="10">
        <v>1</v>
      </c>
    </row>
    <row r="19" spans="1:12">
      <c r="A19" s="6" t="s">
        <v>565</v>
      </c>
      <c r="B19" s="13">
        <f>B18+COUNTIF(제작!$A$14:$A$52,"장신구 착용")</f>
        <v>3</v>
      </c>
    </row>
    <row r="20" spans="1:12">
      <c r="A20" s="6" t="s">
        <v>566</v>
      </c>
      <c r="B20" s="10">
        <v>100</v>
      </c>
    </row>
    <row r="21" spans="1:12">
      <c r="A21" s="2" t="s">
        <v>567</v>
      </c>
    </row>
    <row r="22" spans="1:12">
      <c r="A22" s="2" t="s">
        <v>568</v>
      </c>
    </row>
    <row r="24" spans="1:12" ht="30" customHeight="1">
      <c r="A24" s="8" t="s">
        <v>106</v>
      </c>
      <c r="B24" s="8" t="s">
        <v>569</v>
      </c>
      <c r="C24" s="8" t="s">
        <v>273</v>
      </c>
      <c r="D24" s="8" t="s">
        <v>570</v>
      </c>
      <c r="E24" s="8" t="s">
        <v>571</v>
      </c>
      <c r="F24" s="8" t="s">
        <v>572</v>
      </c>
      <c r="G24" s="8" t="s">
        <v>573</v>
      </c>
      <c r="H24" s="8" t="s">
        <v>574</v>
      </c>
      <c r="I24" s="8" t="s">
        <v>575</v>
      </c>
      <c r="J24" s="8" t="s">
        <v>160</v>
      </c>
      <c r="K24" s="8" t="s">
        <v>576</v>
      </c>
      <c r="L24" s="8" t="s">
        <v>577</v>
      </c>
    </row>
    <row r="25" spans="1:12">
      <c r="A25" s="4" t="s">
        <v>60</v>
      </c>
      <c r="B25" s="4" t="s">
        <v>578</v>
      </c>
      <c r="C25" s="4" t="s">
        <v>579</v>
      </c>
      <c r="D25" s="14">
        <v>0.01</v>
      </c>
      <c r="E25" s="14">
        <v>0.1</v>
      </c>
      <c r="F25" s="14">
        <v>0.11</v>
      </c>
      <c r="G25" s="14">
        <v>0.2</v>
      </c>
      <c r="H25" s="14">
        <v>0.21</v>
      </c>
      <c r="I25" s="14">
        <v>0.25</v>
      </c>
      <c r="J25" s="14">
        <v>0.3</v>
      </c>
      <c r="K25" s="15">
        <f t="shared" ref="K25:K33" si="0">J25*$B$19</f>
        <v>0.89999999999999991</v>
      </c>
      <c r="L25" s="15">
        <f t="shared" ref="L25:L33" si="1">1/COUNTA($B$25:$B$33)</f>
        <v>0.1111111111111111</v>
      </c>
    </row>
    <row r="26" spans="1:12">
      <c r="A26" s="4" t="s">
        <v>60</v>
      </c>
      <c r="B26" s="4" t="s">
        <v>580</v>
      </c>
      <c r="C26" s="4" t="s">
        <v>581</v>
      </c>
      <c r="D26" s="14">
        <v>0.01</v>
      </c>
      <c r="E26" s="14">
        <v>0.1</v>
      </c>
      <c r="F26" s="14">
        <v>0.11</v>
      </c>
      <c r="G26" s="14">
        <v>0.2</v>
      </c>
      <c r="H26" s="14">
        <v>0.21</v>
      </c>
      <c r="I26" s="14">
        <v>0.25</v>
      </c>
      <c r="J26" s="14">
        <v>0.3</v>
      </c>
      <c r="K26" s="15">
        <f t="shared" si="0"/>
        <v>0.89999999999999991</v>
      </c>
      <c r="L26" s="15">
        <f t="shared" si="1"/>
        <v>0.1111111111111111</v>
      </c>
    </row>
    <row r="27" spans="1:12">
      <c r="A27" s="4" t="s">
        <v>60</v>
      </c>
      <c r="B27" s="4" t="s">
        <v>582</v>
      </c>
      <c r="C27" s="4" t="s">
        <v>583</v>
      </c>
      <c r="D27" s="14">
        <v>1E-3</v>
      </c>
      <c r="E27" s="14">
        <v>3.0000000000000001E-3</v>
      </c>
      <c r="F27" s="14">
        <v>4.0000000000000001E-3</v>
      </c>
      <c r="G27" s="14">
        <v>6.0000000000000001E-3</v>
      </c>
      <c r="H27" s="14">
        <v>6.9999999999999993E-3</v>
      </c>
      <c r="I27" s="14">
        <v>8.0000000000000002E-3</v>
      </c>
      <c r="J27" s="14">
        <v>0.01</v>
      </c>
      <c r="K27" s="15">
        <f t="shared" si="0"/>
        <v>0.03</v>
      </c>
      <c r="L27" s="15">
        <f t="shared" si="1"/>
        <v>0.1111111111111111</v>
      </c>
    </row>
    <row r="28" spans="1:12">
      <c r="A28" s="4" t="s">
        <v>60</v>
      </c>
      <c r="B28" s="4" t="s">
        <v>584</v>
      </c>
      <c r="C28" s="4" t="s">
        <v>585</v>
      </c>
      <c r="D28" s="14">
        <v>5.0000000000000001E-3</v>
      </c>
      <c r="E28" s="14">
        <v>0.02</v>
      </c>
      <c r="F28" s="14">
        <v>2.5000000000000001E-2</v>
      </c>
      <c r="G28" s="14">
        <v>0.04</v>
      </c>
      <c r="H28" s="14">
        <v>4.4999999999999998E-2</v>
      </c>
      <c r="I28" s="14">
        <v>0.05</v>
      </c>
      <c r="J28" s="14">
        <v>0.06</v>
      </c>
      <c r="K28" s="15">
        <f t="shared" si="0"/>
        <v>0.18</v>
      </c>
      <c r="L28" s="15">
        <f t="shared" si="1"/>
        <v>0.1111111111111111</v>
      </c>
    </row>
    <row r="29" spans="1:12">
      <c r="A29" s="4" t="s">
        <v>586</v>
      </c>
      <c r="B29" s="4" t="s">
        <v>587</v>
      </c>
      <c r="C29" s="4" t="s">
        <v>588</v>
      </c>
      <c r="D29" s="14">
        <v>0.01</v>
      </c>
      <c r="E29" s="14">
        <v>0.1</v>
      </c>
      <c r="F29" s="14">
        <v>0.11</v>
      </c>
      <c r="G29" s="14">
        <v>0.2</v>
      </c>
      <c r="H29" s="14">
        <v>0.21</v>
      </c>
      <c r="I29" s="14">
        <v>0.25</v>
      </c>
      <c r="J29" s="14">
        <v>0.3</v>
      </c>
      <c r="K29" s="15">
        <f t="shared" si="0"/>
        <v>0.89999999999999991</v>
      </c>
      <c r="L29" s="15">
        <f t="shared" si="1"/>
        <v>0.1111111111111111</v>
      </c>
    </row>
    <row r="30" spans="1:12">
      <c r="A30" s="4" t="s">
        <v>586</v>
      </c>
      <c r="B30" s="4" t="s">
        <v>589</v>
      </c>
      <c r="C30" s="4" t="s">
        <v>590</v>
      </c>
      <c r="D30" s="14">
        <v>0.01</v>
      </c>
      <c r="E30" s="14">
        <v>0.06</v>
      </c>
      <c r="F30" s="14">
        <v>7.0000000000000007E-2</v>
      </c>
      <c r="G30" s="14">
        <v>0.13</v>
      </c>
      <c r="H30" s="14">
        <v>0.14000000000000001</v>
      </c>
      <c r="I30" s="14">
        <v>0.16</v>
      </c>
      <c r="J30" s="14">
        <v>0.2</v>
      </c>
      <c r="K30" s="15">
        <f t="shared" si="0"/>
        <v>0.60000000000000009</v>
      </c>
      <c r="L30" s="15">
        <f t="shared" si="1"/>
        <v>0.1111111111111111</v>
      </c>
    </row>
    <row r="31" spans="1:12">
      <c r="A31" s="4" t="s">
        <v>586</v>
      </c>
      <c r="B31" s="4" t="s">
        <v>591</v>
      </c>
      <c r="C31" s="4" t="s">
        <v>592</v>
      </c>
      <c r="D31" s="14">
        <v>5.0000000000000001E-3</v>
      </c>
      <c r="E31" s="14">
        <v>0.02</v>
      </c>
      <c r="F31" s="14">
        <v>2.5000000000000001E-2</v>
      </c>
      <c r="G31" s="14">
        <v>0.04</v>
      </c>
      <c r="H31" s="14">
        <v>4.4999999999999998E-2</v>
      </c>
      <c r="I31" s="14">
        <v>0.05</v>
      </c>
      <c r="J31" s="14">
        <v>0.06</v>
      </c>
      <c r="K31" s="15">
        <f t="shared" si="0"/>
        <v>0.18</v>
      </c>
      <c r="L31" s="15">
        <f t="shared" si="1"/>
        <v>0.1111111111111111</v>
      </c>
    </row>
    <row r="32" spans="1:12">
      <c r="A32" s="4" t="s">
        <v>66</v>
      </c>
      <c r="B32" s="4" t="s">
        <v>593</v>
      </c>
      <c r="C32" s="4" t="s">
        <v>594</v>
      </c>
      <c r="D32" s="14">
        <v>0.01</v>
      </c>
      <c r="E32" s="14">
        <v>0.1</v>
      </c>
      <c r="F32" s="14">
        <v>0.11</v>
      </c>
      <c r="G32" s="14">
        <v>0.2</v>
      </c>
      <c r="H32" s="14">
        <v>0.21</v>
      </c>
      <c r="I32" s="14">
        <v>0.25</v>
      </c>
      <c r="J32" s="14">
        <v>0.3</v>
      </c>
      <c r="K32" s="15">
        <f t="shared" si="0"/>
        <v>0.89999999999999991</v>
      </c>
      <c r="L32" s="15">
        <f t="shared" si="1"/>
        <v>0.1111111111111111</v>
      </c>
    </row>
    <row r="33" spans="1:12">
      <c r="A33" s="4" t="s">
        <v>595</v>
      </c>
      <c r="B33" s="4" t="s">
        <v>596</v>
      </c>
      <c r="C33" s="4" t="s">
        <v>597</v>
      </c>
      <c r="D33" s="14">
        <v>0.01</v>
      </c>
      <c r="E33" s="14">
        <v>0.03</v>
      </c>
      <c r="F33" s="14">
        <v>0.04</v>
      </c>
      <c r="G33" s="14">
        <v>0.06</v>
      </c>
      <c r="H33" s="14">
        <v>7.0000000000000007E-2</v>
      </c>
      <c r="I33" s="14">
        <v>0.08</v>
      </c>
      <c r="J33" s="14">
        <v>0.1</v>
      </c>
      <c r="K33" s="15">
        <f t="shared" si="0"/>
        <v>0.30000000000000004</v>
      </c>
      <c r="L33" s="15">
        <f t="shared" si="1"/>
        <v>0.1111111111111111</v>
      </c>
    </row>
    <row r="35" spans="1:12">
      <c r="A35" s="2" t="s">
        <v>598</v>
      </c>
    </row>
    <row r="36" spans="1:12">
      <c r="A36" s="2" t="s">
        <v>599</v>
      </c>
    </row>
    <row r="38" spans="1:12">
      <c r="A38" s="8" t="s">
        <v>600</v>
      </c>
      <c r="B38" s="8" t="s">
        <v>601</v>
      </c>
      <c r="C38" s="8" t="s">
        <v>602</v>
      </c>
    </row>
    <row r="39" spans="1:12">
      <c r="A39" s="6" t="s">
        <v>603</v>
      </c>
      <c r="B39" s="13">
        <f>31*탐험!$B$43</f>
        <v>2232</v>
      </c>
      <c r="C39" s="13">
        <f>SUM(제작!$C$57:$C$87)</f>
        <v>3360</v>
      </c>
    </row>
    <row r="40" spans="1:12">
      <c r="A40" s="6" t="s">
        <v>74</v>
      </c>
      <c r="B40" s="13">
        <f>B$39*탐험!$G$23</f>
        <v>110.48400000000001</v>
      </c>
      <c r="C40" s="13">
        <f>C$39*탐험!$G$23</f>
        <v>166.32000000000002</v>
      </c>
    </row>
    <row r="41" spans="1:12">
      <c r="A41" s="6" t="s">
        <v>130</v>
      </c>
      <c r="B41" s="13">
        <f>B$39*탐험!$C$28</f>
        <v>11.16</v>
      </c>
      <c r="C41" s="13">
        <f>C$39*탐험!$C$28</f>
        <v>16.8</v>
      </c>
    </row>
    <row r="42" spans="1:12">
      <c r="A42" s="6" t="s">
        <v>604</v>
      </c>
      <c r="B42" s="11">
        <f>B40*$B$8</f>
        <v>66.29040000000002</v>
      </c>
      <c r="C42" s="11">
        <f>C40*$B$8</f>
        <v>99.79200000000003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개요</vt:lpstr>
      <vt:lpstr>NP·시즌</vt:lpstr>
      <vt:lpstr>탐험</vt:lpstr>
      <vt:lpstr>작물</vt:lpstr>
      <vt:lpstr>품질표</vt:lpstr>
      <vt:lpstr>제작</vt:lpstr>
      <vt:lpstr>요리·별</vt:lpstr>
      <vt:lpstr>요리 목록</vt:lpstr>
      <vt:lpstr>화폐·상점</vt:lpstr>
      <vt:lpstr>장신구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원종선</cp:lastModifiedBy>
  <dcterms:created xsi:type="dcterms:W3CDTF">2026-10-05T14:49:30Z</dcterms:created>
  <dcterms:modified xsi:type="dcterms:W3CDTF">2026-10-05T14:49:31Z</dcterms:modified>
</cp:coreProperties>
</file>